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brennan/Downloads/"/>
    </mc:Choice>
  </mc:AlternateContent>
  <xr:revisionPtr revIDLastSave="0" documentId="13_ncr:1_{118F8B79-00A1-BA44-ABB2-69C7B64D5D41}" xr6:coauthVersionLast="47" xr6:coauthVersionMax="47" xr10:uidLastSave="{00000000-0000-0000-0000-000000000000}"/>
  <bookViews>
    <workbookView xWindow="0" yWindow="760" windowWidth="23380" windowHeight="16400" tabRatio="500" xr2:uid="{00000000-000D-0000-FFFF-FFFF00000000}"/>
  </bookViews>
  <sheets>
    <sheet name="Dashboard" sheetId="1" r:id="rId1"/>
    <sheet name="Assumptions" sheetId="2" r:id="rId2"/>
    <sheet name="Acq &amp; Financing" sheetId="3" r:id="rId3"/>
    <sheet name="Operating Model" sheetId="4" r:id="rId4"/>
    <sheet name="Annual Summary" sheetId="5" r:id="rId5"/>
    <sheet name="Sensitivity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" i="4" l="1"/>
  <c r="B47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D41" i="4"/>
  <c r="E41" i="4" s="1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AV41" i="4" s="1"/>
  <c r="AW41" i="4" s="1"/>
  <c r="AX41" i="4" s="1"/>
  <c r="AY41" i="4" s="1"/>
  <c r="AZ41" i="4" s="1"/>
  <c r="BA41" i="4" s="1"/>
  <c r="BB41" i="4" s="1"/>
  <c r="BC41" i="4" s="1"/>
  <c r="BD41" i="4" s="1"/>
  <c r="BE41" i="4" s="1"/>
  <c r="BF41" i="4" s="1"/>
  <c r="BG41" i="4" s="1"/>
  <c r="BH41" i="4" s="1"/>
  <c r="BI41" i="4" s="1"/>
  <c r="BJ41" i="4" s="1"/>
  <c r="BK41" i="4" s="1"/>
  <c r="BL41" i="4" s="1"/>
  <c r="BM41" i="4" s="1"/>
  <c r="BN41" i="4" s="1"/>
  <c r="BO41" i="4" s="1"/>
  <c r="BP41" i="4" s="1"/>
  <c r="BQ41" i="4" s="1"/>
  <c r="BR41" i="4" s="1"/>
  <c r="BS41" i="4" s="1"/>
  <c r="BT41" i="4" s="1"/>
  <c r="BU41" i="4" s="1"/>
  <c r="BV41" i="4" s="1"/>
  <c r="BW41" i="4" s="1"/>
  <c r="BX41" i="4" s="1"/>
  <c r="BY41" i="4" s="1"/>
  <c r="BZ41" i="4" s="1"/>
  <c r="CA41" i="4" s="1"/>
  <c r="CB41" i="4" s="1"/>
  <c r="CC41" i="4" s="1"/>
  <c r="CD41" i="4" s="1"/>
  <c r="CE41" i="4" s="1"/>
  <c r="CF41" i="4" s="1"/>
  <c r="CG41" i="4" s="1"/>
  <c r="CH41" i="4" s="1"/>
  <c r="CI41" i="4" s="1"/>
  <c r="CJ41" i="4" s="1"/>
  <c r="CK41" i="4" s="1"/>
  <c r="CL41" i="4" s="1"/>
  <c r="CM41" i="4" s="1"/>
  <c r="CN41" i="4" s="1"/>
  <c r="CO41" i="4" s="1"/>
  <c r="CP41" i="4" s="1"/>
  <c r="CQ41" i="4" s="1"/>
  <c r="CR41" i="4" s="1"/>
  <c r="CS41" i="4" s="1"/>
  <c r="CT41" i="4" s="1"/>
  <c r="CU41" i="4" s="1"/>
  <c r="CV41" i="4" s="1"/>
  <c r="CW41" i="4" s="1"/>
  <c r="CX41" i="4" s="1"/>
  <c r="CY41" i="4" s="1"/>
  <c r="CZ41" i="4" s="1"/>
  <c r="DA41" i="4" s="1"/>
  <c r="DB41" i="4" s="1"/>
  <c r="DC41" i="4" s="1"/>
  <c r="DD41" i="4" s="1"/>
  <c r="DE41" i="4" s="1"/>
  <c r="DF41" i="4" s="1"/>
  <c r="DG41" i="4" s="1"/>
  <c r="DH41" i="4" s="1"/>
  <c r="DI41" i="4" s="1"/>
  <c r="DJ41" i="4" s="1"/>
  <c r="DK41" i="4" s="1"/>
  <c r="DL41" i="4" s="1"/>
  <c r="DM41" i="4" s="1"/>
  <c r="DN41" i="4" s="1"/>
  <c r="DO41" i="4" s="1"/>
  <c r="DP41" i="4" s="1"/>
  <c r="DQ41" i="4" s="1"/>
  <c r="DR41" i="4" s="1"/>
  <c r="C41" i="4"/>
  <c r="DJ33" i="4"/>
  <c r="CX33" i="4"/>
  <c r="CS33" i="4"/>
  <c r="CL33" i="4"/>
  <c r="CD33" i="4"/>
  <c r="BZ33" i="4"/>
  <c r="BU33" i="4"/>
  <c r="BT33" i="4"/>
  <c r="AW33" i="4"/>
  <c r="AT33" i="4"/>
  <c r="AP33" i="4"/>
  <c r="AK33" i="4"/>
  <c r="AD33" i="4"/>
  <c r="R33" i="4"/>
  <c r="M33" i="4"/>
  <c r="DJ32" i="4"/>
  <c r="DE32" i="4"/>
  <c r="CX32" i="4"/>
  <c r="BZ32" i="4"/>
  <c r="BU32" i="4"/>
  <c r="BB32" i="4"/>
  <c r="V32" i="4"/>
  <c r="R32" i="4"/>
  <c r="DR31" i="4"/>
  <c r="DR33" i="4" s="1"/>
  <c r="DQ31" i="4"/>
  <c r="DQ33" i="4" s="1"/>
  <c r="DP31" i="4"/>
  <c r="DP33" i="4" s="1"/>
  <c r="DO31" i="4"/>
  <c r="DO33" i="4" s="1"/>
  <c r="DN31" i="4"/>
  <c r="DN33" i="4" s="1"/>
  <c r="DM31" i="4"/>
  <c r="DM33" i="4" s="1"/>
  <c r="DL31" i="4"/>
  <c r="DL33" i="4" s="1"/>
  <c r="DK31" i="4"/>
  <c r="DK33" i="4" s="1"/>
  <c r="DJ31" i="4"/>
  <c r="DI31" i="4"/>
  <c r="DI33" i="4" s="1"/>
  <c r="DH31" i="4"/>
  <c r="DH33" i="4" s="1"/>
  <c r="DG31" i="4"/>
  <c r="DG33" i="4" s="1"/>
  <c r="DF31" i="4"/>
  <c r="DF33" i="4" s="1"/>
  <c r="DE31" i="4"/>
  <c r="DE33" i="4" s="1"/>
  <c r="DD31" i="4"/>
  <c r="DD33" i="4" s="1"/>
  <c r="DC31" i="4"/>
  <c r="DC33" i="4" s="1"/>
  <c r="DB31" i="4"/>
  <c r="DB33" i="4" s="1"/>
  <c r="DA31" i="4"/>
  <c r="DA33" i="4" s="1"/>
  <c r="CZ31" i="4"/>
  <c r="CZ33" i="4" s="1"/>
  <c r="CY31" i="4"/>
  <c r="CY33" i="4" s="1"/>
  <c r="CX31" i="4"/>
  <c r="CW31" i="4"/>
  <c r="CW33" i="4" s="1"/>
  <c r="CV31" i="4"/>
  <c r="CV33" i="4" s="1"/>
  <c r="CU31" i="4"/>
  <c r="CU33" i="4" s="1"/>
  <c r="CT31" i="4"/>
  <c r="CT33" i="4" s="1"/>
  <c r="CS31" i="4"/>
  <c r="CR31" i="4"/>
  <c r="CR33" i="4" s="1"/>
  <c r="CQ31" i="4"/>
  <c r="CQ33" i="4" s="1"/>
  <c r="CP31" i="4"/>
  <c r="CP33" i="4" s="1"/>
  <c r="CO31" i="4"/>
  <c r="CO33" i="4" s="1"/>
  <c r="CN31" i="4"/>
  <c r="CN33" i="4" s="1"/>
  <c r="CM31" i="4"/>
  <c r="CM33" i="4" s="1"/>
  <c r="CL31" i="4"/>
  <c r="CK31" i="4"/>
  <c r="CK33" i="4" s="1"/>
  <c r="CJ31" i="4"/>
  <c r="CJ33" i="4" s="1"/>
  <c r="CI31" i="4"/>
  <c r="CI33" i="4" s="1"/>
  <c r="CH31" i="4"/>
  <c r="CH33" i="4" s="1"/>
  <c r="CG31" i="4"/>
  <c r="CG33" i="4" s="1"/>
  <c r="CF31" i="4"/>
  <c r="CF33" i="4" s="1"/>
  <c r="CE31" i="4"/>
  <c r="CE33" i="4" s="1"/>
  <c r="CD31" i="4"/>
  <c r="CC31" i="4"/>
  <c r="CC33" i="4" s="1"/>
  <c r="CB31" i="4"/>
  <c r="CB33" i="4" s="1"/>
  <c r="CA31" i="4"/>
  <c r="CA33" i="4" s="1"/>
  <c r="BZ31" i="4"/>
  <c r="BY31" i="4"/>
  <c r="BY33" i="4" s="1"/>
  <c r="BX31" i="4"/>
  <c r="BX33" i="4" s="1"/>
  <c r="BW31" i="4"/>
  <c r="BW33" i="4" s="1"/>
  <c r="BV31" i="4"/>
  <c r="BV33" i="4" s="1"/>
  <c r="BU31" i="4"/>
  <c r="BT31" i="4"/>
  <c r="BS31" i="4"/>
  <c r="BS33" i="4" s="1"/>
  <c r="BR31" i="4"/>
  <c r="BR33" i="4" s="1"/>
  <c r="BQ31" i="4"/>
  <c r="BQ33" i="4" s="1"/>
  <c r="BP31" i="4"/>
  <c r="BP33" i="4" s="1"/>
  <c r="BO31" i="4"/>
  <c r="BO33" i="4" s="1"/>
  <c r="BN31" i="4"/>
  <c r="BN33" i="4" s="1"/>
  <c r="BM31" i="4"/>
  <c r="BM33" i="4" s="1"/>
  <c r="BL31" i="4"/>
  <c r="BL33" i="4" s="1"/>
  <c r="BK31" i="4"/>
  <c r="BK33" i="4" s="1"/>
  <c r="BJ31" i="4"/>
  <c r="BJ33" i="4" s="1"/>
  <c r="BI31" i="4"/>
  <c r="BI33" i="4" s="1"/>
  <c r="BH31" i="4"/>
  <c r="BH33" i="4" s="1"/>
  <c r="BG31" i="4"/>
  <c r="BG33" i="4" s="1"/>
  <c r="BF31" i="4"/>
  <c r="BF33" i="4" s="1"/>
  <c r="BE31" i="4"/>
  <c r="BE33" i="4" s="1"/>
  <c r="BD31" i="4"/>
  <c r="BD33" i="4" s="1"/>
  <c r="BC31" i="4"/>
  <c r="BC33" i="4" s="1"/>
  <c r="BB31" i="4"/>
  <c r="BB33" i="4" s="1"/>
  <c r="BA31" i="4"/>
  <c r="BA33" i="4" s="1"/>
  <c r="AZ31" i="4"/>
  <c r="AZ33" i="4" s="1"/>
  <c r="AY31" i="4"/>
  <c r="AY33" i="4" s="1"/>
  <c r="AX31" i="4"/>
  <c r="AX33" i="4" s="1"/>
  <c r="AW31" i="4"/>
  <c r="AV31" i="4"/>
  <c r="AV33" i="4" s="1"/>
  <c r="AU31" i="4"/>
  <c r="AU33" i="4" s="1"/>
  <c r="AT31" i="4"/>
  <c r="AS31" i="4"/>
  <c r="AS33" i="4" s="1"/>
  <c r="AR31" i="4"/>
  <c r="AR33" i="4" s="1"/>
  <c r="AQ31" i="4"/>
  <c r="AQ33" i="4" s="1"/>
  <c r="AP31" i="4"/>
  <c r="AO31" i="4"/>
  <c r="AO33" i="4" s="1"/>
  <c r="AN31" i="4"/>
  <c r="AN33" i="4" s="1"/>
  <c r="AM31" i="4"/>
  <c r="AM33" i="4" s="1"/>
  <c r="AL31" i="4"/>
  <c r="AL33" i="4" s="1"/>
  <c r="AK31" i="4"/>
  <c r="AJ31" i="4"/>
  <c r="AJ33" i="4" s="1"/>
  <c r="AI31" i="4"/>
  <c r="AI33" i="4" s="1"/>
  <c r="AH31" i="4"/>
  <c r="AH33" i="4" s="1"/>
  <c r="AG31" i="4"/>
  <c r="AG33" i="4" s="1"/>
  <c r="AF31" i="4"/>
  <c r="AF33" i="4" s="1"/>
  <c r="AE31" i="4"/>
  <c r="AE33" i="4" s="1"/>
  <c r="AD31" i="4"/>
  <c r="AC31" i="4"/>
  <c r="AC33" i="4" s="1"/>
  <c r="AB31" i="4"/>
  <c r="AB33" i="4" s="1"/>
  <c r="AA31" i="4"/>
  <c r="AA33" i="4" s="1"/>
  <c r="Z31" i="4"/>
  <c r="Z33" i="4" s="1"/>
  <c r="Y31" i="4"/>
  <c r="Y33" i="4" s="1"/>
  <c r="X31" i="4"/>
  <c r="X33" i="4" s="1"/>
  <c r="W31" i="4"/>
  <c r="W33" i="4" s="1"/>
  <c r="V31" i="4"/>
  <c r="V33" i="4" s="1"/>
  <c r="U31" i="4"/>
  <c r="U33" i="4" s="1"/>
  <c r="T31" i="4"/>
  <c r="T33" i="4" s="1"/>
  <c r="S31" i="4"/>
  <c r="S33" i="4" s="1"/>
  <c r="R31" i="4"/>
  <c r="Q31" i="4"/>
  <c r="Q33" i="4" s="1"/>
  <c r="P31" i="4"/>
  <c r="P33" i="4" s="1"/>
  <c r="O31" i="4"/>
  <c r="O33" i="4" s="1"/>
  <c r="N31" i="4"/>
  <c r="N33" i="4" s="1"/>
  <c r="M31" i="4"/>
  <c r="L31" i="4"/>
  <c r="L33" i="4" s="1"/>
  <c r="K31" i="4"/>
  <c r="K33" i="4" s="1"/>
  <c r="J31" i="4"/>
  <c r="J33" i="4" s="1"/>
  <c r="I31" i="4"/>
  <c r="I33" i="4" s="1"/>
  <c r="H31" i="4"/>
  <c r="H33" i="4" s="1"/>
  <c r="G31" i="4"/>
  <c r="G33" i="4" s="1"/>
  <c r="F31" i="4"/>
  <c r="F33" i="4" s="1"/>
  <c r="E31" i="4"/>
  <c r="E33" i="4" s="1"/>
  <c r="D31" i="4"/>
  <c r="D33" i="4" s="1"/>
  <c r="C31" i="4"/>
  <c r="C33" i="4" s="1"/>
  <c r="DR30" i="4"/>
  <c r="DR32" i="4" s="1"/>
  <c r="DQ30" i="4"/>
  <c r="DQ32" i="4" s="1"/>
  <c r="DP30" i="4"/>
  <c r="DP32" i="4" s="1"/>
  <c r="DO30" i="4"/>
  <c r="DO32" i="4" s="1"/>
  <c r="DN30" i="4"/>
  <c r="DN32" i="4" s="1"/>
  <c r="DM30" i="4"/>
  <c r="DM32" i="4" s="1"/>
  <c r="DL30" i="4"/>
  <c r="DL32" i="4" s="1"/>
  <c r="DK30" i="4"/>
  <c r="DK32" i="4" s="1"/>
  <c r="DJ30" i="4"/>
  <c r="DI30" i="4"/>
  <c r="DI32" i="4" s="1"/>
  <c r="DH30" i="4"/>
  <c r="DH32" i="4" s="1"/>
  <c r="DG30" i="4"/>
  <c r="DG32" i="4" s="1"/>
  <c r="DF30" i="4"/>
  <c r="DF32" i="4" s="1"/>
  <c r="DE30" i="4"/>
  <c r="DD30" i="4"/>
  <c r="DD32" i="4" s="1"/>
  <c r="DC30" i="4"/>
  <c r="DC32" i="4" s="1"/>
  <c r="DB30" i="4"/>
  <c r="DB32" i="4" s="1"/>
  <c r="DA30" i="4"/>
  <c r="DA32" i="4" s="1"/>
  <c r="CZ30" i="4"/>
  <c r="CZ32" i="4" s="1"/>
  <c r="CY30" i="4"/>
  <c r="CY32" i="4" s="1"/>
  <c r="CX30" i="4"/>
  <c r="CW30" i="4"/>
  <c r="CW32" i="4" s="1"/>
  <c r="CV30" i="4"/>
  <c r="CV32" i="4" s="1"/>
  <c r="CU30" i="4"/>
  <c r="CU32" i="4" s="1"/>
  <c r="CT30" i="4"/>
  <c r="CT32" i="4" s="1"/>
  <c r="CS30" i="4"/>
  <c r="CS32" i="4" s="1"/>
  <c r="CR30" i="4"/>
  <c r="CR32" i="4" s="1"/>
  <c r="CQ30" i="4"/>
  <c r="CQ32" i="4" s="1"/>
  <c r="CP30" i="4"/>
  <c r="CP32" i="4" s="1"/>
  <c r="CO30" i="4"/>
  <c r="CO32" i="4" s="1"/>
  <c r="CN30" i="4"/>
  <c r="CN32" i="4" s="1"/>
  <c r="CM30" i="4"/>
  <c r="CM32" i="4" s="1"/>
  <c r="CL30" i="4"/>
  <c r="CL32" i="4" s="1"/>
  <c r="CK30" i="4"/>
  <c r="CK32" i="4" s="1"/>
  <c r="CJ30" i="4"/>
  <c r="CJ32" i="4" s="1"/>
  <c r="CI30" i="4"/>
  <c r="CI32" i="4" s="1"/>
  <c r="CH30" i="4"/>
  <c r="CH32" i="4" s="1"/>
  <c r="CG30" i="4"/>
  <c r="CG32" i="4" s="1"/>
  <c r="CF30" i="4"/>
  <c r="CF32" i="4" s="1"/>
  <c r="CE30" i="4"/>
  <c r="CE32" i="4" s="1"/>
  <c r="CD30" i="4"/>
  <c r="CD32" i="4" s="1"/>
  <c r="CC30" i="4"/>
  <c r="CC32" i="4" s="1"/>
  <c r="CB30" i="4"/>
  <c r="CB32" i="4" s="1"/>
  <c r="CA30" i="4"/>
  <c r="CA32" i="4" s="1"/>
  <c r="BZ30" i="4"/>
  <c r="BY30" i="4"/>
  <c r="BY32" i="4" s="1"/>
  <c r="BX30" i="4"/>
  <c r="BX32" i="4" s="1"/>
  <c r="BW30" i="4"/>
  <c r="BW32" i="4" s="1"/>
  <c r="BV30" i="4"/>
  <c r="BV32" i="4" s="1"/>
  <c r="BU30" i="4"/>
  <c r="BT30" i="4"/>
  <c r="BT32" i="4" s="1"/>
  <c r="BS30" i="4"/>
  <c r="BS32" i="4" s="1"/>
  <c r="BR30" i="4"/>
  <c r="BR32" i="4" s="1"/>
  <c r="BQ30" i="4"/>
  <c r="BQ32" i="4" s="1"/>
  <c r="BP30" i="4"/>
  <c r="BP32" i="4" s="1"/>
  <c r="BO30" i="4"/>
  <c r="BO32" i="4" s="1"/>
  <c r="BN30" i="4"/>
  <c r="BN32" i="4" s="1"/>
  <c r="BM30" i="4"/>
  <c r="BM32" i="4" s="1"/>
  <c r="BL30" i="4"/>
  <c r="BL32" i="4" s="1"/>
  <c r="BK30" i="4"/>
  <c r="BK32" i="4" s="1"/>
  <c r="BJ30" i="4"/>
  <c r="BJ32" i="4" s="1"/>
  <c r="BI30" i="4"/>
  <c r="BI32" i="4" s="1"/>
  <c r="BH30" i="4"/>
  <c r="BH32" i="4" s="1"/>
  <c r="BG30" i="4"/>
  <c r="BG32" i="4" s="1"/>
  <c r="BF30" i="4"/>
  <c r="BF32" i="4" s="1"/>
  <c r="BE30" i="4"/>
  <c r="BE32" i="4" s="1"/>
  <c r="BD30" i="4"/>
  <c r="BD32" i="4" s="1"/>
  <c r="BC30" i="4"/>
  <c r="BC32" i="4" s="1"/>
  <c r="BB30" i="4"/>
  <c r="BA30" i="4"/>
  <c r="BA32" i="4" s="1"/>
  <c r="AZ30" i="4"/>
  <c r="AZ32" i="4" s="1"/>
  <c r="AY30" i="4"/>
  <c r="AY32" i="4" s="1"/>
  <c r="AX30" i="4"/>
  <c r="AX32" i="4" s="1"/>
  <c r="AW30" i="4"/>
  <c r="AW32" i="4" s="1"/>
  <c r="AV30" i="4"/>
  <c r="AV32" i="4" s="1"/>
  <c r="AU30" i="4"/>
  <c r="AU32" i="4" s="1"/>
  <c r="AT30" i="4"/>
  <c r="AT32" i="4" s="1"/>
  <c r="AS30" i="4"/>
  <c r="AS32" i="4" s="1"/>
  <c r="AR30" i="4"/>
  <c r="AR32" i="4" s="1"/>
  <c r="AQ30" i="4"/>
  <c r="AQ32" i="4" s="1"/>
  <c r="AP30" i="4"/>
  <c r="AP32" i="4" s="1"/>
  <c r="AO30" i="4"/>
  <c r="AO32" i="4" s="1"/>
  <c r="AN30" i="4"/>
  <c r="AN32" i="4" s="1"/>
  <c r="AM30" i="4"/>
  <c r="AM32" i="4" s="1"/>
  <c r="AL30" i="4"/>
  <c r="AL32" i="4" s="1"/>
  <c r="AK30" i="4"/>
  <c r="AK32" i="4" s="1"/>
  <c r="AJ30" i="4"/>
  <c r="AJ32" i="4" s="1"/>
  <c r="AI30" i="4"/>
  <c r="AI32" i="4" s="1"/>
  <c r="AH30" i="4"/>
  <c r="AH32" i="4" s="1"/>
  <c r="AG30" i="4"/>
  <c r="AG32" i="4" s="1"/>
  <c r="AF30" i="4"/>
  <c r="AF32" i="4" s="1"/>
  <c r="AE30" i="4"/>
  <c r="AE32" i="4" s="1"/>
  <c r="AD30" i="4"/>
  <c r="AD32" i="4" s="1"/>
  <c r="AC30" i="4"/>
  <c r="AC32" i="4" s="1"/>
  <c r="AB30" i="4"/>
  <c r="AB32" i="4" s="1"/>
  <c r="AA30" i="4"/>
  <c r="AA32" i="4" s="1"/>
  <c r="Z30" i="4"/>
  <c r="Z32" i="4" s="1"/>
  <c r="Y30" i="4"/>
  <c r="Y32" i="4" s="1"/>
  <c r="X30" i="4"/>
  <c r="X32" i="4" s="1"/>
  <c r="W30" i="4"/>
  <c r="W32" i="4" s="1"/>
  <c r="V30" i="4"/>
  <c r="U30" i="4"/>
  <c r="U32" i="4" s="1"/>
  <c r="T30" i="4"/>
  <c r="T32" i="4" s="1"/>
  <c r="S30" i="4"/>
  <c r="S32" i="4" s="1"/>
  <c r="R30" i="4"/>
  <c r="Q30" i="4"/>
  <c r="Q32" i="4" s="1"/>
  <c r="P30" i="4"/>
  <c r="P32" i="4" s="1"/>
  <c r="O30" i="4"/>
  <c r="O32" i="4" s="1"/>
  <c r="N30" i="4"/>
  <c r="N32" i="4" s="1"/>
  <c r="M30" i="4"/>
  <c r="M32" i="4" s="1"/>
  <c r="L30" i="4"/>
  <c r="L32" i="4" s="1"/>
  <c r="K30" i="4"/>
  <c r="K32" i="4" s="1"/>
  <c r="J30" i="4"/>
  <c r="J32" i="4" s="1"/>
  <c r="I30" i="4"/>
  <c r="I32" i="4" s="1"/>
  <c r="H30" i="4"/>
  <c r="H32" i="4" s="1"/>
  <c r="G30" i="4"/>
  <c r="G32" i="4" s="1"/>
  <c r="F30" i="4"/>
  <c r="F32" i="4" s="1"/>
  <c r="E30" i="4"/>
  <c r="E32" i="4" s="1"/>
  <c r="D30" i="4"/>
  <c r="D32" i="4" s="1"/>
  <c r="C30" i="4"/>
  <c r="C32" i="4" s="1"/>
  <c r="O19" i="4"/>
  <c r="CX13" i="4"/>
  <c r="CX23" i="4" s="1"/>
  <c r="CM13" i="4"/>
  <c r="CK13" i="4"/>
  <c r="CK23" i="4" s="1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DJ12" i="4"/>
  <c r="DJ22" i="4" s="1"/>
  <c r="DI12" i="4"/>
  <c r="CW12" i="4"/>
  <c r="CW22" i="4" s="1"/>
  <c r="CH12" i="4"/>
  <c r="BJ12" i="4"/>
  <c r="BI12" i="4"/>
  <c r="BI22" i="4" s="1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DM11" i="4"/>
  <c r="DA11" i="4"/>
  <c r="BE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L21" i="4" s="1"/>
  <c r="AK11" i="4"/>
  <c r="AJ11" i="4"/>
  <c r="AI11" i="4"/>
  <c r="AH11" i="4"/>
  <c r="AG11" i="4"/>
  <c r="AF11" i="4"/>
  <c r="AE11" i="4"/>
  <c r="AD11" i="4"/>
  <c r="AC11" i="4"/>
  <c r="AB11" i="4"/>
  <c r="AB21" i="4" s="1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T10" i="4"/>
  <c r="CH10" i="4"/>
  <c r="BQ10" i="4"/>
  <c r="AS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DR9" i="4"/>
  <c r="DM9" i="4"/>
  <c r="CO9" i="4"/>
  <c r="CG9" i="4"/>
  <c r="BQ9" i="4"/>
  <c r="BJ9" i="4"/>
  <c r="AS9" i="4"/>
  <c r="Z9" i="4"/>
  <c r="Y9" i="4"/>
  <c r="X9" i="4"/>
  <c r="W9" i="4"/>
  <c r="V9" i="4"/>
  <c r="U9" i="4"/>
  <c r="T9" i="4"/>
  <c r="S9" i="4"/>
  <c r="R9" i="4"/>
  <c r="Q9" i="4"/>
  <c r="P9" i="4"/>
  <c r="O9" i="4"/>
  <c r="N9" i="4"/>
  <c r="N19" i="4" s="1"/>
  <c r="M9" i="4"/>
  <c r="L9" i="4"/>
  <c r="K9" i="4"/>
  <c r="J9" i="4"/>
  <c r="I9" i="4"/>
  <c r="H9" i="4"/>
  <c r="G9" i="4"/>
  <c r="F9" i="4"/>
  <c r="E9" i="4"/>
  <c r="D9" i="4"/>
  <c r="C9" i="4"/>
  <c r="DM8" i="4"/>
  <c r="DF8" i="4"/>
  <c r="CO8" i="4"/>
  <c r="CH8" i="4"/>
  <c r="BQ8" i="4"/>
  <c r="BJ8" i="4"/>
  <c r="AS8" i="4"/>
  <c r="AL8" i="4"/>
  <c r="U8" i="4"/>
  <c r="N8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K35" i="4" s="1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T35" i="4" s="1"/>
  <c r="AS6" i="4"/>
  <c r="AS35" i="4" s="1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Y35" i="4" s="1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DN5" i="4"/>
  <c r="DM5" i="4"/>
  <c r="DK5" i="4"/>
  <c r="DJ5" i="4"/>
  <c r="DI5" i="4"/>
  <c r="DA5" i="4"/>
  <c r="CY5" i="4"/>
  <c r="CX5" i="4"/>
  <c r="CW5" i="4"/>
  <c r="CV5" i="4"/>
  <c r="CO5" i="4"/>
  <c r="CM5" i="4"/>
  <c r="CL5" i="4"/>
  <c r="CK5" i="4"/>
  <c r="CI5" i="4"/>
  <c r="CA5" i="4"/>
  <c r="BZ5" i="4"/>
  <c r="BY5" i="4"/>
  <c r="BX5" i="4"/>
  <c r="BV5" i="4"/>
  <c r="BO5" i="4"/>
  <c r="BN5" i="4"/>
  <c r="BM5" i="4"/>
  <c r="BL5" i="4"/>
  <c r="BK5" i="4"/>
  <c r="BI5" i="4"/>
  <c r="BC5" i="4"/>
  <c r="BB5" i="4"/>
  <c r="BA5" i="4"/>
  <c r="AZ5" i="4"/>
  <c r="AY5" i="4"/>
  <c r="AX5" i="4"/>
  <c r="AQ5" i="4"/>
  <c r="AP5" i="4"/>
  <c r="AO5" i="4"/>
  <c r="AN5" i="4"/>
  <c r="AM5" i="4"/>
  <c r="AM23" i="4" s="1"/>
  <c r="AL5" i="4"/>
  <c r="AL22" i="4" s="1"/>
  <c r="AE5" i="4"/>
  <c r="AB5" i="4"/>
  <c r="AA5" i="4"/>
  <c r="Z5" i="4"/>
  <c r="Y5" i="4"/>
  <c r="V5" i="4"/>
  <c r="V23" i="4" s="1"/>
  <c r="S5" i="4"/>
  <c r="O5" i="4"/>
  <c r="O21" i="4" s="1"/>
  <c r="N5" i="4"/>
  <c r="M5" i="4"/>
  <c r="M23" i="4" s="1"/>
  <c r="I5" i="4"/>
  <c r="DR4" i="4"/>
  <c r="DR8" i="4" s="1"/>
  <c r="DQ4" i="4"/>
  <c r="DQ8" i="4" s="1"/>
  <c r="DP4" i="4"/>
  <c r="DP8" i="4" s="1"/>
  <c r="DO4" i="4"/>
  <c r="DO8" i="4" s="1"/>
  <c r="DN4" i="4"/>
  <c r="DN8" i="4" s="1"/>
  <c r="DM4" i="4"/>
  <c r="DL4" i="4"/>
  <c r="DL8" i="4" s="1"/>
  <c r="DK4" i="4"/>
  <c r="DK8" i="4" s="1"/>
  <c r="DJ4" i="4"/>
  <c r="DJ8" i="4" s="1"/>
  <c r="DJ18" i="4" s="1"/>
  <c r="DI4" i="4"/>
  <c r="DI8" i="4" s="1"/>
  <c r="DI18" i="4" s="1"/>
  <c r="DH4" i="4"/>
  <c r="DH8" i="4" s="1"/>
  <c r="DG4" i="4"/>
  <c r="DG8" i="4" s="1"/>
  <c r="DF4" i="4"/>
  <c r="DE4" i="4"/>
  <c r="DE8" i="4" s="1"/>
  <c r="DD4" i="4"/>
  <c r="DD8" i="4" s="1"/>
  <c r="DC4" i="4"/>
  <c r="DC8" i="4" s="1"/>
  <c r="DB4" i="4"/>
  <c r="DB8" i="4" s="1"/>
  <c r="DA4" i="4"/>
  <c r="DA8" i="4" s="1"/>
  <c r="CZ4" i="4"/>
  <c r="CZ8" i="4" s="1"/>
  <c r="CY4" i="4"/>
  <c r="CY8" i="4" s="1"/>
  <c r="CX4" i="4"/>
  <c r="CX8" i="4" s="1"/>
  <c r="CW4" i="4"/>
  <c r="CW8" i="4" s="1"/>
  <c r="CW18" i="4" s="1"/>
  <c r="CV4" i="4"/>
  <c r="CV8" i="4" s="1"/>
  <c r="CU4" i="4"/>
  <c r="CU8" i="4" s="1"/>
  <c r="CT4" i="4"/>
  <c r="CT8" i="4" s="1"/>
  <c r="CS4" i="4"/>
  <c r="CS8" i="4" s="1"/>
  <c r="CR4" i="4"/>
  <c r="CR8" i="4" s="1"/>
  <c r="CQ4" i="4"/>
  <c r="CQ8" i="4" s="1"/>
  <c r="CP4" i="4"/>
  <c r="DN9" i="4" s="1"/>
  <c r="CO4" i="4"/>
  <c r="CN4" i="4"/>
  <c r="DL9" i="4" s="1"/>
  <c r="CM4" i="4"/>
  <c r="CL4" i="4"/>
  <c r="CK4" i="4"/>
  <c r="CJ4" i="4"/>
  <c r="CI4" i="4"/>
  <c r="CH4" i="4"/>
  <c r="DF9" i="4" s="1"/>
  <c r="CG4" i="4"/>
  <c r="DE9" i="4" s="1"/>
  <c r="CF4" i="4"/>
  <c r="DD9" i="4" s="1"/>
  <c r="CE4" i="4"/>
  <c r="CE8" i="4" s="1"/>
  <c r="CD4" i="4"/>
  <c r="CC4" i="4"/>
  <c r="DM10" i="4" s="1"/>
  <c r="DM20" i="4" s="1"/>
  <c r="CB4" i="4"/>
  <c r="CA4" i="4"/>
  <c r="BZ4" i="4"/>
  <c r="BY4" i="4"/>
  <c r="BX4" i="4"/>
  <c r="BW4" i="4"/>
  <c r="BV4" i="4"/>
  <c r="DF10" i="4" s="1"/>
  <c r="BU4" i="4"/>
  <c r="DE10" i="4" s="1"/>
  <c r="BT4" i="4"/>
  <c r="DD10" i="4" s="1"/>
  <c r="BS4" i="4"/>
  <c r="DC10" i="4" s="1"/>
  <c r="BR4" i="4"/>
  <c r="BQ4" i="4"/>
  <c r="DA10" i="4" s="1"/>
  <c r="DA20" i="4" s="1"/>
  <c r="BP4" i="4"/>
  <c r="BO4" i="4"/>
  <c r="BN4" i="4"/>
  <c r="BM4" i="4"/>
  <c r="BL4" i="4"/>
  <c r="BK4" i="4"/>
  <c r="BJ4" i="4"/>
  <c r="DR12" i="4" s="1"/>
  <c r="BI4" i="4"/>
  <c r="DQ12" i="4" s="1"/>
  <c r="BH4" i="4"/>
  <c r="DP12" i="4" s="1"/>
  <c r="BG4" i="4"/>
  <c r="DO12" i="4" s="1"/>
  <c r="BF4" i="4"/>
  <c r="BE4" i="4"/>
  <c r="DM12" i="4" s="1"/>
  <c r="BD4" i="4"/>
  <c r="BC4" i="4"/>
  <c r="BB4" i="4"/>
  <c r="BA4" i="4"/>
  <c r="AZ4" i="4"/>
  <c r="DH12" i="4" s="1"/>
  <c r="AY4" i="4"/>
  <c r="DG12" i="4" s="1"/>
  <c r="AX4" i="4"/>
  <c r="DF12" i="4" s="1"/>
  <c r="AW4" i="4"/>
  <c r="CG10" i="4" s="1"/>
  <c r="AV4" i="4"/>
  <c r="DD12" i="4" s="1"/>
  <c r="AU4" i="4"/>
  <c r="AT4" i="4"/>
  <c r="AS4" i="4"/>
  <c r="AR4" i="4"/>
  <c r="AQ4" i="4"/>
  <c r="AP4" i="4"/>
  <c r="DJ13" i="4" s="1"/>
  <c r="DJ23" i="4" s="1"/>
  <c r="AO4" i="4"/>
  <c r="AN4" i="4"/>
  <c r="AM4" i="4"/>
  <c r="AL4" i="4"/>
  <c r="DF13" i="4" s="1"/>
  <c r="AK4" i="4"/>
  <c r="BU10" i="4" s="1"/>
  <c r="AJ4" i="4"/>
  <c r="DD13" i="4" s="1"/>
  <c r="AI4" i="4"/>
  <c r="AH4" i="4"/>
  <c r="AG4" i="4"/>
  <c r="CO12" i="4" s="1"/>
  <c r="AF4" i="4"/>
  <c r="AE4" i="4"/>
  <c r="AD4" i="4"/>
  <c r="AC4" i="4"/>
  <c r="AB4" i="4"/>
  <c r="CJ12" i="4" s="1"/>
  <c r="CJ22" i="4" s="1"/>
  <c r="AA4" i="4"/>
  <c r="CI12" i="4" s="1"/>
  <c r="CI22" i="4" s="1"/>
  <c r="Z4" i="4"/>
  <c r="CT13" i="4" s="1"/>
  <c r="Y4" i="4"/>
  <c r="CS13" i="4" s="1"/>
  <c r="X4" i="4"/>
  <c r="BH10" i="4" s="1"/>
  <c r="W4" i="4"/>
  <c r="V4" i="4"/>
  <c r="U4" i="4"/>
  <c r="T4" i="4"/>
  <c r="S4" i="4"/>
  <c r="R4" i="4"/>
  <c r="CL13" i="4" s="1"/>
  <c r="CL23" i="4" s="1"/>
  <c r="Q4" i="4"/>
  <c r="P4" i="4"/>
  <c r="O4" i="4"/>
  <c r="BW12" i="4" s="1"/>
  <c r="N4" i="4"/>
  <c r="CH13" i="4" s="1"/>
  <c r="M4" i="4"/>
  <c r="CG13" i="4" s="1"/>
  <c r="L4" i="4"/>
  <c r="CF13" i="4" s="1"/>
  <c r="K4" i="4"/>
  <c r="J4" i="4"/>
  <c r="I4" i="4"/>
  <c r="CC13" i="4" s="1"/>
  <c r="H4" i="4"/>
  <c r="G4" i="4"/>
  <c r="CA13" i="4" s="1"/>
  <c r="CA23" i="4" s="1"/>
  <c r="F4" i="4"/>
  <c r="BZ13" i="4" s="1"/>
  <c r="BZ23" i="4" s="1"/>
  <c r="E4" i="4"/>
  <c r="BY13" i="4" s="1"/>
  <c r="BY23" i="4" s="1"/>
  <c r="D4" i="4"/>
  <c r="BX13" i="4" s="1"/>
  <c r="BX23" i="4" s="1"/>
  <c r="C4" i="4"/>
  <c r="DR3" i="4"/>
  <c r="DR5" i="4" s="1"/>
  <c r="DQ3" i="4"/>
  <c r="DQ5" i="4" s="1"/>
  <c r="DP3" i="4"/>
  <c r="DP5" i="4" s="1"/>
  <c r="DO3" i="4"/>
  <c r="DO5" i="4" s="1"/>
  <c r="DN3" i="4"/>
  <c r="DM3" i="4"/>
  <c r="DL3" i="4"/>
  <c r="DL5" i="4" s="1"/>
  <c r="DK3" i="4"/>
  <c r="DJ3" i="4"/>
  <c r="DI3" i="4"/>
  <c r="DH3" i="4"/>
  <c r="DH5" i="4" s="1"/>
  <c r="DG3" i="4"/>
  <c r="DG5" i="4" s="1"/>
  <c r="DF3" i="4"/>
  <c r="DF5" i="4" s="1"/>
  <c r="DF23" i="4" s="1"/>
  <c r="DE3" i="4"/>
  <c r="DE5" i="4" s="1"/>
  <c r="DD3" i="4"/>
  <c r="DD5" i="4" s="1"/>
  <c r="DC3" i="4"/>
  <c r="DC5" i="4" s="1"/>
  <c r="DB3" i="4"/>
  <c r="DB5" i="4" s="1"/>
  <c r="DA3" i="4"/>
  <c r="CZ3" i="4"/>
  <c r="CZ5" i="4" s="1"/>
  <c r="CY3" i="4"/>
  <c r="CX3" i="4"/>
  <c r="CW3" i="4"/>
  <c r="CV3" i="4"/>
  <c r="CU3" i="4"/>
  <c r="CU5" i="4" s="1"/>
  <c r="CT3" i="4"/>
  <c r="CT5" i="4" s="1"/>
  <c r="CS3" i="4"/>
  <c r="CS5" i="4" s="1"/>
  <c r="CR3" i="4"/>
  <c r="CR5" i="4" s="1"/>
  <c r="CQ3" i="4"/>
  <c r="CQ5" i="4" s="1"/>
  <c r="CP3" i="4"/>
  <c r="CP5" i="4" s="1"/>
  <c r="CO3" i="4"/>
  <c r="CN3" i="4"/>
  <c r="CN5" i="4" s="1"/>
  <c r="CM3" i="4"/>
  <c r="CL3" i="4"/>
  <c r="CK3" i="4"/>
  <c r="CJ3" i="4"/>
  <c r="CJ5" i="4" s="1"/>
  <c r="CI3" i="4"/>
  <c r="CH3" i="4"/>
  <c r="CH5" i="4" s="1"/>
  <c r="CG3" i="4"/>
  <c r="CG5" i="4" s="1"/>
  <c r="CF3" i="4"/>
  <c r="CF5" i="4" s="1"/>
  <c r="CE3" i="4"/>
  <c r="CE5" i="4" s="1"/>
  <c r="CD3" i="4"/>
  <c r="CD5" i="4" s="1"/>
  <c r="CC3" i="4"/>
  <c r="CC5" i="4" s="1"/>
  <c r="CB3" i="4"/>
  <c r="CB5" i="4" s="1"/>
  <c r="CA3" i="4"/>
  <c r="BZ3" i="4"/>
  <c r="BY3" i="4"/>
  <c r="BX3" i="4"/>
  <c r="BW3" i="4"/>
  <c r="BW5" i="4" s="1"/>
  <c r="BV3" i="4"/>
  <c r="BU3" i="4"/>
  <c r="BU5" i="4" s="1"/>
  <c r="BT3" i="4"/>
  <c r="BT5" i="4" s="1"/>
  <c r="BS3" i="4"/>
  <c r="BS5" i="4" s="1"/>
  <c r="BS23" i="4" s="1"/>
  <c r="BR3" i="4"/>
  <c r="BR5" i="4" s="1"/>
  <c r="BR23" i="4" s="1"/>
  <c r="BQ3" i="4"/>
  <c r="BQ5" i="4" s="1"/>
  <c r="BP3" i="4"/>
  <c r="BP5" i="4" s="1"/>
  <c r="BO3" i="4"/>
  <c r="BN3" i="4"/>
  <c r="BM3" i="4"/>
  <c r="BL3" i="4"/>
  <c r="BK3" i="4"/>
  <c r="BJ3" i="4"/>
  <c r="BJ5" i="4" s="1"/>
  <c r="BI3" i="4"/>
  <c r="BH3" i="4"/>
  <c r="BH5" i="4" s="1"/>
  <c r="BG3" i="4"/>
  <c r="BG5" i="4" s="1"/>
  <c r="BF3" i="4"/>
  <c r="BF5" i="4" s="1"/>
  <c r="BE3" i="4"/>
  <c r="BE5" i="4" s="1"/>
  <c r="BD3" i="4"/>
  <c r="BD5" i="4" s="1"/>
  <c r="BC3" i="4"/>
  <c r="BB3" i="4"/>
  <c r="BA3" i="4"/>
  <c r="AZ3" i="4"/>
  <c r="AY3" i="4"/>
  <c r="AX3" i="4"/>
  <c r="AW3" i="4"/>
  <c r="AW5" i="4" s="1"/>
  <c r="AV3" i="4"/>
  <c r="AV5" i="4" s="1"/>
  <c r="AU3" i="4"/>
  <c r="AU5" i="4" s="1"/>
  <c r="AU23" i="4" s="1"/>
  <c r="AT3" i="4"/>
  <c r="AT5" i="4" s="1"/>
  <c r="AT23" i="4" s="1"/>
  <c r="AS3" i="4"/>
  <c r="AS5" i="4" s="1"/>
  <c r="AS23" i="4" s="1"/>
  <c r="AR3" i="4"/>
  <c r="AR5" i="4" s="1"/>
  <c r="AR23" i="4" s="1"/>
  <c r="AQ3" i="4"/>
  <c r="AP3" i="4"/>
  <c r="AO3" i="4"/>
  <c r="AN3" i="4"/>
  <c r="AM3" i="4"/>
  <c r="AL3" i="4"/>
  <c r="AK3" i="4"/>
  <c r="AK5" i="4" s="1"/>
  <c r="AJ3" i="4"/>
  <c r="AJ5" i="4" s="1"/>
  <c r="AI3" i="4"/>
  <c r="AI5" i="4" s="1"/>
  <c r="AI22" i="4" s="1"/>
  <c r="AH3" i="4"/>
  <c r="AH5" i="4" s="1"/>
  <c r="AG3" i="4"/>
  <c r="AG5" i="4" s="1"/>
  <c r="AG21" i="4" s="1"/>
  <c r="AF3" i="4"/>
  <c r="AF5" i="4" s="1"/>
  <c r="AF20" i="4" s="1"/>
  <c r="AE3" i="4"/>
  <c r="AD3" i="4"/>
  <c r="AD5" i="4" s="1"/>
  <c r="AD20" i="4" s="1"/>
  <c r="AC3" i="4"/>
  <c r="AC5" i="4" s="1"/>
  <c r="AB3" i="4"/>
  <c r="AA3" i="4"/>
  <c r="Z3" i="4"/>
  <c r="Y3" i="4"/>
  <c r="X3" i="4"/>
  <c r="X5" i="4" s="1"/>
  <c r="W3" i="4"/>
  <c r="W5" i="4" s="1"/>
  <c r="W23" i="4" s="1"/>
  <c r="V3" i="4"/>
  <c r="U3" i="4"/>
  <c r="U5" i="4" s="1"/>
  <c r="U23" i="4" s="1"/>
  <c r="T3" i="4"/>
  <c r="T5" i="4" s="1"/>
  <c r="T20" i="4" s="1"/>
  <c r="S3" i="4"/>
  <c r="R3" i="4"/>
  <c r="R5" i="4" s="1"/>
  <c r="R20" i="4" s="1"/>
  <c r="Q3" i="4"/>
  <c r="Q5" i="4" s="1"/>
  <c r="P3" i="4"/>
  <c r="P5" i="4" s="1"/>
  <c r="P21" i="4" s="1"/>
  <c r="O3" i="4"/>
  <c r="N3" i="4"/>
  <c r="M3" i="4"/>
  <c r="L3" i="4"/>
  <c r="L5" i="4" s="1"/>
  <c r="K3" i="4"/>
  <c r="K5" i="4" s="1"/>
  <c r="J3" i="4"/>
  <c r="J5" i="4" s="1"/>
  <c r="I3" i="4"/>
  <c r="H3" i="4"/>
  <c r="H5" i="4" s="1"/>
  <c r="H23" i="4" s="1"/>
  <c r="G3" i="4"/>
  <c r="G5" i="4" s="1"/>
  <c r="F3" i="4"/>
  <c r="F5" i="4" s="1"/>
  <c r="E3" i="4"/>
  <c r="E5" i="4" s="1"/>
  <c r="D3" i="4"/>
  <c r="D5" i="4" s="1"/>
  <c r="C3" i="4"/>
  <c r="D10" i="3"/>
  <c r="B5" i="1" s="1"/>
  <c r="G9" i="3"/>
  <c r="D9" i="3"/>
  <c r="C9" i="3"/>
  <c r="B9" i="3"/>
  <c r="A9" i="3"/>
  <c r="G8" i="3"/>
  <c r="D8" i="3"/>
  <c r="E8" i="3" s="1"/>
  <c r="F8" i="3" s="1"/>
  <c r="C8" i="3"/>
  <c r="B8" i="3"/>
  <c r="A8" i="3"/>
  <c r="G7" i="3"/>
  <c r="F7" i="3"/>
  <c r="H7" i="3" s="1"/>
  <c r="E7" i="3"/>
  <c r="D7" i="3"/>
  <c r="C7" i="3"/>
  <c r="B7" i="3"/>
  <c r="A7" i="3"/>
  <c r="G6" i="3"/>
  <c r="D6" i="3"/>
  <c r="C6" i="3"/>
  <c r="B6" i="3"/>
  <c r="A6" i="3"/>
  <c r="G5" i="3"/>
  <c r="D5" i="3"/>
  <c r="C5" i="3"/>
  <c r="B5" i="3"/>
  <c r="B10" i="3" s="1"/>
  <c r="A5" i="3"/>
  <c r="G4" i="3"/>
  <c r="D4" i="3"/>
  <c r="E4" i="3" s="1"/>
  <c r="C4" i="3"/>
  <c r="B4" i="3"/>
  <c r="A4" i="3"/>
  <c r="B10" i="2"/>
  <c r="D9" i="2"/>
  <c r="D8" i="2"/>
  <c r="D7" i="2"/>
  <c r="D6" i="2"/>
  <c r="D5" i="2"/>
  <c r="D4" i="2"/>
  <c r="B8" i="1"/>
  <c r="DR22" i="4" l="1"/>
  <c r="DF20" i="4"/>
  <c r="DF19" i="4"/>
  <c r="CT18" i="4"/>
  <c r="DR18" i="4"/>
  <c r="BW22" i="4"/>
  <c r="DG22" i="4"/>
  <c r="BJ19" i="4"/>
  <c r="DH22" i="4"/>
  <c r="BJ18" i="4"/>
  <c r="I8" i="3"/>
  <c r="H8" i="3"/>
  <c r="F4" i="3"/>
  <c r="DA18" i="4"/>
  <c r="DA25" i="4" s="1"/>
  <c r="J19" i="4"/>
  <c r="DB18" i="4"/>
  <c r="DN18" i="4"/>
  <c r="AG22" i="4"/>
  <c r="D22" i="4"/>
  <c r="D21" i="4"/>
  <c r="D23" i="4"/>
  <c r="DC20" i="4"/>
  <c r="CE18" i="4"/>
  <c r="CQ18" i="4"/>
  <c r="DC18" i="4"/>
  <c r="DO18" i="4"/>
  <c r="L23" i="4"/>
  <c r="L22" i="4"/>
  <c r="CF23" i="4"/>
  <c r="BH20" i="4"/>
  <c r="DD20" i="4"/>
  <c r="DD19" i="4"/>
  <c r="CR18" i="4"/>
  <c r="DD18" i="4"/>
  <c r="DP18" i="4"/>
  <c r="AK22" i="4"/>
  <c r="AK21" i="4"/>
  <c r="CG23" i="4"/>
  <c r="BU20" i="4"/>
  <c r="CG20" i="4"/>
  <c r="DE20" i="4"/>
  <c r="DE19" i="4"/>
  <c r="CS18" i="4"/>
  <c r="DE18" i="4"/>
  <c r="DQ18" i="4"/>
  <c r="DL18" i="4"/>
  <c r="BP12" i="4"/>
  <c r="BP22" i="4" s="1"/>
  <c r="BD11" i="4"/>
  <c r="BD21" i="4" s="1"/>
  <c r="AR10" i="4"/>
  <c r="AR20" i="4" s="1"/>
  <c r="AF9" i="4"/>
  <c r="AF19" i="4" s="1"/>
  <c r="H8" i="4"/>
  <c r="CB13" i="4"/>
  <c r="CB23" i="4" s="1"/>
  <c r="BP11" i="4"/>
  <c r="BP21" i="4" s="1"/>
  <c r="BD10" i="4"/>
  <c r="BD20" i="4" s="1"/>
  <c r="AR9" i="4"/>
  <c r="AR19" i="4" s="1"/>
  <c r="T8" i="4"/>
  <c r="CB12" i="4"/>
  <c r="CB22" i="4" s="1"/>
  <c r="CB11" i="4"/>
  <c r="CB21" i="4" s="1"/>
  <c r="BP10" i="4"/>
  <c r="BP20" i="4" s="1"/>
  <c r="BD9" i="4"/>
  <c r="BD19" i="4" s="1"/>
  <c r="AF8" i="4"/>
  <c r="CN12" i="4"/>
  <c r="CN22" i="4" s="1"/>
  <c r="DL13" i="4"/>
  <c r="DL23" i="4" s="1"/>
  <c r="CN11" i="4"/>
  <c r="CN21" i="4" s="1"/>
  <c r="CB10" i="4"/>
  <c r="CB20" i="4" s="1"/>
  <c r="BP9" i="4"/>
  <c r="BP19" i="4" s="1"/>
  <c r="AR8" i="4"/>
  <c r="CZ12" i="4"/>
  <c r="CZ22" i="4" s="1"/>
  <c r="CZ11" i="4"/>
  <c r="CZ21" i="4" s="1"/>
  <c r="CN10" i="4"/>
  <c r="CN20" i="4" s="1"/>
  <c r="CB9" i="4"/>
  <c r="CB19" i="4" s="1"/>
  <c r="BD8" i="4"/>
  <c r="DL12" i="4"/>
  <c r="DL22" i="4" s="1"/>
  <c r="DL11" i="4"/>
  <c r="DL21" i="4" s="1"/>
  <c r="CZ10" i="4"/>
  <c r="CZ20" i="4" s="1"/>
  <c r="CN9" i="4"/>
  <c r="CN19" i="4" s="1"/>
  <c r="BP8" i="4"/>
  <c r="DL10" i="4"/>
  <c r="DL20" i="4" s="1"/>
  <c r="CZ9" i="4"/>
  <c r="CZ19" i="4" s="1"/>
  <c r="CB8" i="4"/>
  <c r="DL19" i="4"/>
  <c r="CZ18" i="4"/>
  <c r="F35" i="4"/>
  <c r="R35" i="4"/>
  <c r="L8" i="4"/>
  <c r="AJ8" i="4"/>
  <c r="BH8" i="4"/>
  <c r="CF8" i="4"/>
  <c r="F19" i="4"/>
  <c r="AJ9" i="4"/>
  <c r="AJ19" i="4" s="1"/>
  <c r="BH9" i="4"/>
  <c r="BH19" i="4" s="1"/>
  <c r="CG19" i="4"/>
  <c r="DM19" i="4"/>
  <c r="AH20" i="4"/>
  <c r="CH20" i="4"/>
  <c r="DO10" i="4"/>
  <c r="DO20" i="4" s="1"/>
  <c r="K21" i="4"/>
  <c r="W21" i="4"/>
  <c r="AI21" i="4"/>
  <c r="AU21" i="4"/>
  <c r="BU11" i="4"/>
  <c r="BU21" i="4" s="1"/>
  <c r="DA21" i="4"/>
  <c r="BU12" i="4"/>
  <c r="BU22" i="4" s="1"/>
  <c r="DQ13" i="4"/>
  <c r="DQ23" i="4" s="1"/>
  <c r="CC23" i="4"/>
  <c r="CC12" i="4"/>
  <c r="CC22" i="4" s="1"/>
  <c r="CO13" i="4"/>
  <c r="CO23" i="4" s="1"/>
  <c r="CO22" i="4"/>
  <c r="DA12" i="4"/>
  <c r="DA22" i="4" s="1"/>
  <c r="DM13" i="4"/>
  <c r="DM23" i="4" s="1"/>
  <c r="DM22" i="4"/>
  <c r="G35" i="4"/>
  <c r="M8" i="4"/>
  <c r="AK8" i="4"/>
  <c r="BI8" i="4"/>
  <c r="CG8" i="4"/>
  <c r="AK9" i="4"/>
  <c r="AK19" i="4" s="1"/>
  <c r="BI9" i="4"/>
  <c r="BI19" i="4" s="1"/>
  <c r="CH9" i="4"/>
  <c r="DO9" i="4"/>
  <c r="DO19" i="4" s="1"/>
  <c r="K20" i="4"/>
  <c r="W20" i="4"/>
  <c r="AI20" i="4"/>
  <c r="BI10" i="4"/>
  <c r="BI20" i="4" s="1"/>
  <c r="CO10" i="4"/>
  <c r="CO20" i="4" s="1"/>
  <c r="DP10" i="4"/>
  <c r="DP20" i="4" s="1"/>
  <c r="L21" i="4"/>
  <c r="X21" i="4"/>
  <c r="AJ21" i="4"/>
  <c r="AV21" i="4"/>
  <c r="BV11" i="4"/>
  <c r="BV21" i="4" s="1"/>
  <c r="DC11" i="4"/>
  <c r="DC21" i="4" s="1"/>
  <c r="BV12" i="4"/>
  <c r="BV22" i="4" s="1"/>
  <c r="DE12" i="4"/>
  <c r="DE22" i="4" s="1"/>
  <c r="BE23" i="4"/>
  <c r="BQ23" i="4"/>
  <c r="DR13" i="4"/>
  <c r="DR23" i="4" s="1"/>
  <c r="CD13" i="4"/>
  <c r="CD23" i="4" s="1"/>
  <c r="BR12" i="4"/>
  <c r="BR22" i="4" s="1"/>
  <c r="BF11" i="4"/>
  <c r="BF21" i="4" s="1"/>
  <c r="AT10" i="4"/>
  <c r="AT20" i="4" s="1"/>
  <c r="CP13" i="4"/>
  <c r="CP23" i="4" s="1"/>
  <c r="BR11" i="4"/>
  <c r="BR21" i="4" s="1"/>
  <c r="BF10" i="4"/>
  <c r="BF20" i="4" s="1"/>
  <c r="CP12" i="4"/>
  <c r="CP22" i="4" s="1"/>
  <c r="CD11" i="4"/>
  <c r="CD21" i="4" s="1"/>
  <c r="BR10" i="4"/>
  <c r="BR20" i="4" s="1"/>
  <c r="DB12" i="4"/>
  <c r="DB22" i="4" s="1"/>
  <c r="CP11" i="4"/>
  <c r="CP21" i="4" s="1"/>
  <c r="CD10" i="4"/>
  <c r="CD20" i="4" s="1"/>
  <c r="DN12" i="4"/>
  <c r="DN22" i="4" s="1"/>
  <c r="DB11" i="4"/>
  <c r="DB21" i="4" s="1"/>
  <c r="CP10" i="4"/>
  <c r="CP20" i="4" s="1"/>
  <c r="CD9" i="4"/>
  <c r="CD19" i="4" s="1"/>
  <c r="DN11" i="4"/>
  <c r="DN21" i="4" s="1"/>
  <c r="DB10" i="4"/>
  <c r="DB20" i="4" s="1"/>
  <c r="CP9" i="4"/>
  <c r="CP19" i="4" s="1"/>
  <c r="DN10" i="4"/>
  <c r="DN20" i="4" s="1"/>
  <c r="DB9" i="4"/>
  <c r="DB19" i="4" s="1"/>
  <c r="DN19" i="4"/>
  <c r="N18" i="4"/>
  <c r="AL15" i="4"/>
  <c r="AL18" i="4"/>
  <c r="AL25" i="4" s="1"/>
  <c r="CH18" i="4"/>
  <c r="DF18" i="4"/>
  <c r="H19" i="4"/>
  <c r="AL9" i="4"/>
  <c r="AL19" i="4" s="1"/>
  <c r="CO19" i="4"/>
  <c r="DP9" i="4"/>
  <c r="DP19" i="4" s="1"/>
  <c r="L20" i="4"/>
  <c r="X20" i="4"/>
  <c r="AJ20" i="4"/>
  <c r="BJ10" i="4"/>
  <c r="CQ10" i="4"/>
  <c r="CQ20" i="4" s="1"/>
  <c r="DQ10" i="4"/>
  <c r="DQ20" i="4" s="1"/>
  <c r="M21" i="4"/>
  <c r="Y21" i="4"/>
  <c r="AW21" i="4"/>
  <c r="CC11" i="4"/>
  <c r="CC21" i="4" s="1"/>
  <c r="DD11" i="4"/>
  <c r="DD21" i="4" s="1"/>
  <c r="BF23" i="4"/>
  <c r="CM23" i="4"/>
  <c r="CE13" i="4"/>
  <c r="CE23" i="4" s="1"/>
  <c r="BS12" i="4"/>
  <c r="BS22" i="4" s="1"/>
  <c r="CQ13" i="4"/>
  <c r="CQ23" i="4" s="1"/>
  <c r="CE12" i="4"/>
  <c r="CE22" i="4" s="1"/>
  <c r="DC13" i="4"/>
  <c r="DC23" i="4" s="1"/>
  <c r="CQ12" i="4"/>
  <c r="CQ22" i="4" s="1"/>
  <c r="DO13" i="4"/>
  <c r="DO23" i="4" s="1"/>
  <c r="DC12" i="4"/>
  <c r="DC22" i="4" s="1"/>
  <c r="DO22" i="4"/>
  <c r="I35" i="4"/>
  <c r="U35" i="4"/>
  <c r="AG35" i="4"/>
  <c r="BE35" i="4"/>
  <c r="BQ35" i="4"/>
  <c r="CC35" i="4"/>
  <c r="CO35" i="4"/>
  <c r="DA35" i="4"/>
  <c r="DM35" i="4"/>
  <c r="U18" i="4"/>
  <c r="U15" i="4"/>
  <c r="U16" i="4" s="1"/>
  <c r="U27" i="4" s="1"/>
  <c r="AS18" i="4"/>
  <c r="AS15" i="4"/>
  <c r="BQ18" i="4"/>
  <c r="CO18" i="4"/>
  <c r="DM18" i="4"/>
  <c r="DM15" i="4"/>
  <c r="I19" i="4"/>
  <c r="U19" i="4"/>
  <c r="AS19" i="4"/>
  <c r="BQ19" i="4"/>
  <c r="CQ9" i="4"/>
  <c r="CQ19" i="4" s="1"/>
  <c r="DQ9" i="4"/>
  <c r="DQ19" i="4" s="1"/>
  <c r="M20" i="4"/>
  <c r="Y20" i="4"/>
  <c r="AK20" i="4"/>
  <c r="BQ20" i="4"/>
  <c r="CR10" i="4"/>
  <c r="CR20" i="4" s="1"/>
  <c r="DR10" i="4"/>
  <c r="DR20" i="4" s="1"/>
  <c r="N21" i="4"/>
  <c r="Z21" i="4"/>
  <c r="AX21" i="4"/>
  <c r="CE11" i="4"/>
  <c r="CE21" i="4" s="1"/>
  <c r="DE11" i="4"/>
  <c r="DE21" i="4" s="1"/>
  <c r="T22" i="4"/>
  <c r="BD22" i="4"/>
  <c r="CD12" i="4"/>
  <c r="CD22" i="4" s="1"/>
  <c r="CN13" i="4"/>
  <c r="CN23" i="4" s="1"/>
  <c r="N15" i="4"/>
  <c r="M22" i="4"/>
  <c r="DP22" i="4"/>
  <c r="V35" i="4"/>
  <c r="AH35" i="4"/>
  <c r="BF35" i="4"/>
  <c r="BR35" i="4"/>
  <c r="CD35" i="4"/>
  <c r="CP35" i="4"/>
  <c r="DB35" i="4"/>
  <c r="DN35" i="4"/>
  <c r="V8" i="4"/>
  <c r="AT8" i="4"/>
  <c r="BR8" i="4"/>
  <c r="CP8" i="4"/>
  <c r="V19" i="4"/>
  <c r="AT9" i="4"/>
  <c r="AT19" i="4" s="1"/>
  <c r="BR9" i="4"/>
  <c r="BR19" i="4" s="1"/>
  <c r="CR9" i="4"/>
  <c r="CR19" i="4" s="1"/>
  <c r="DR19" i="4"/>
  <c r="N20" i="4"/>
  <c r="Z20" i="4"/>
  <c r="AL20" i="4"/>
  <c r="BS10" i="4"/>
  <c r="BS20" i="4" s="1"/>
  <c r="CS10" i="4"/>
  <c r="CS20" i="4" s="1"/>
  <c r="BE21" i="4"/>
  <c r="CF11" i="4"/>
  <c r="CF21" i="4" s="1"/>
  <c r="DF11" i="4"/>
  <c r="DF21" i="4" s="1"/>
  <c r="I22" i="4"/>
  <c r="U22" i="4"/>
  <c r="AS22" i="4"/>
  <c r="BE22" i="4"/>
  <c r="CG12" i="4"/>
  <c r="CG22" i="4" s="1"/>
  <c r="DI22" i="4"/>
  <c r="X23" i="4"/>
  <c r="AJ23" i="4"/>
  <c r="BH23" i="4"/>
  <c r="CV13" i="4"/>
  <c r="CV23" i="4" s="1"/>
  <c r="CR13" i="4"/>
  <c r="CR23" i="4" s="1"/>
  <c r="CF12" i="4"/>
  <c r="CF22" i="4" s="1"/>
  <c r="E6" i="3"/>
  <c r="F6" i="3" s="1"/>
  <c r="DQ22" i="4"/>
  <c r="BS35" i="4"/>
  <c r="W8" i="4"/>
  <c r="K19" i="4"/>
  <c r="CG11" i="4"/>
  <c r="CG21" i="4" s="1"/>
  <c r="DM21" i="4"/>
  <c r="AH22" i="4"/>
  <c r="Y23" i="4"/>
  <c r="AK23" i="4"/>
  <c r="AU35" i="4"/>
  <c r="DO35" i="4"/>
  <c r="CS9" i="4"/>
  <c r="CS19" i="4" s="1"/>
  <c r="CT20" i="4"/>
  <c r="BI23" i="4"/>
  <c r="B49" i="4"/>
  <c r="B48" i="4"/>
  <c r="I7" i="3"/>
  <c r="DF22" i="4"/>
  <c r="L35" i="4"/>
  <c r="X35" i="4"/>
  <c r="AJ35" i="4"/>
  <c r="AV35" i="4"/>
  <c r="BH35" i="4"/>
  <c r="BT35" i="4"/>
  <c r="CF35" i="4"/>
  <c r="CR35" i="4"/>
  <c r="DD35" i="4"/>
  <c r="DP35" i="4"/>
  <c r="X8" i="4"/>
  <c r="AV8" i="4"/>
  <c r="BT8" i="4"/>
  <c r="L19" i="4"/>
  <c r="X19" i="4"/>
  <c r="AV9" i="4"/>
  <c r="AV19" i="4" s="1"/>
  <c r="BT9" i="4"/>
  <c r="BT19" i="4" s="1"/>
  <c r="CT9" i="4"/>
  <c r="CT19" i="4" s="1"/>
  <c r="AU10" i="4"/>
  <c r="AU20" i="4" s="1"/>
  <c r="Q21" i="4"/>
  <c r="AC21" i="4"/>
  <c r="BH11" i="4"/>
  <c r="BH21" i="4" s="1"/>
  <c r="CH11" i="4"/>
  <c r="CH21" i="4" s="1"/>
  <c r="DO11" i="4"/>
  <c r="DO21" i="4" s="1"/>
  <c r="W22" i="4"/>
  <c r="AU22" i="4"/>
  <c r="N23" i="4"/>
  <c r="Z23" i="4"/>
  <c r="AL23" i="4"/>
  <c r="AX23" i="4"/>
  <c r="BJ23" i="4"/>
  <c r="BV23" i="4"/>
  <c r="CZ13" i="4"/>
  <c r="CZ23" i="4" s="1"/>
  <c r="K35" i="4"/>
  <c r="CE35" i="4"/>
  <c r="BS8" i="4"/>
  <c r="AU9" i="4"/>
  <c r="AU19" i="4" s="1"/>
  <c r="CH22" i="4"/>
  <c r="J5" i="5"/>
  <c r="I5" i="5"/>
  <c r="H5" i="5"/>
  <c r="F5" i="5"/>
  <c r="E5" i="5"/>
  <c r="D5" i="5"/>
  <c r="K5" i="5"/>
  <c r="G5" i="5"/>
  <c r="C5" i="5"/>
  <c r="L5" i="5"/>
  <c r="BK12" i="4"/>
  <c r="BK22" i="4" s="1"/>
  <c r="AY11" i="4"/>
  <c r="AY21" i="4" s="1"/>
  <c r="AM10" i="4"/>
  <c r="AM20" i="4" s="1"/>
  <c r="AA9" i="4"/>
  <c r="AA19" i="4" s="1"/>
  <c r="C8" i="4"/>
  <c r="BW13" i="4"/>
  <c r="BW23" i="4" s="1"/>
  <c r="BK11" i="4"/>
  <c r="BK21" i="4" s="1"/>
  <c r="AY10" i="4"/>
  <c r="AY20" i="4" s="1"/>
  <c r="AM9" i="4"/>
  <c r="AM19" i="4" s="1"/>
  <c r="O8" i="4"/>
  <c r="CU13" i="4"/>
  <c r="CU23" i="4" s="1"/>
  <c r="BW11" i="4"/>
  <c r="BW21" i="4" s="1"/>
  <c r="BK10" i="4"/>
  <c r="BK20" i="4" s="1"/>
  <c r="AY9" i="4"/>
  <c r="AY19" i="4" s="1"/>
  <c r="AA8" i="4"/>
  <c r="DG13" i="4"/>
  <c r="DG23" i="4" s="1"/>
  <c r="CI11" i="4"/>
  <c r="CI21" i="4" s="1"/>
  <c r="BW10" i="4"/>
  <c r="BW20" i="4" s="1"/>
  <c r="BK9" i="4"/>
  <c r="BK19" i="4" s="1"/>
  <c r="AM8" i="4"/>
  <c r="CU11" i="4"/>
  <c r="CU21" i="4" s="1"/>
  <c r="CI10" i="4"/>
  <c r="CI20" i="4" s="1"/>
  <c r="BW9" i="4"/>
  <c r="BW19" i="4" s="1"/>
  <c r="AY8" i="4"/>
  <c r="DG11" i="4"/>
  <c r="DG21" i="4" s="1"/>
  <c r="CU10" i="4"/>
  <c r="CU20" i="4" s="1"/>
  <c r="CI9" i="4"/>
  <c r="CI19" i="4" s="1"/>
  <c r="BK8" i="4"/>
  <c r="DG10" i="4"/>
  <c r="DG20" i="4" s="1"/>
  <c r="CU9" i="4"/>
  <c r="CU19" i="4" s="1"/>
  <c r="BW8" i="4"/>
  <c r="DG9" i="4"/>
  <c r="DG19" i="4" s="1"/>
  <c r="CI8" i="4"/>
  <c r="CU18" i="4"/>
  <c r="DG18" i="4"/>
  <c r="C5" i="4"/>
  <c r="M35" i="4"/>
  <c r="AK35" i="4"/>
  <c r="AW35" i="4"/>
  <c r="BI35" i="4"/>
  <c r="BU35" i="4"/>
  <c r="CG35" i="4"/>
  <c r="CS35" i="4"/>
  <c r="DE35" i="4"/>
  <c r="DQ35" i="4"/>
  <c r="Y8" i="4"/>
  <c r="AW8" i="4"/>
  <c r="BU8" i="4"/>
  <c r="M19" i="4"/>
  <c r="Y19" i="4"/>
  <c r="AW9" i="4"/>
  <c r="AW19" i="4" s="1"/>
  <c r="BU9" i="4"/>
  <c r="BU19" i="4" s="1"/>
  <c r="DA9" i="4"/>
  <c r="DA19" i="4" s="1"/>
  <c r="Q20" i="4"/>
  <c r="AV10" i="4"/>
  <c r="AV20" i="4" s="1"/>
  <c r="BV10" i="4"/>
  <c r="BV20" i="4" s="1"/>
  <c r="R21" i="4"/>
  <c r="BI11" i="4"/>
  <c r="BI21" i="4" s="1"/>
  <c r="CO11" i="4"/>
  <c r="CO21" i="4" s="1"/>
  <c r="DP11" i="4"/>
  <c r="DP21" i="4" s="1"/>
  <c r="X22" i="4"/>
  <c r="AJ22" i="4"/>
  <c r="AV22" i="4"/>
  <c r="BH22" i="4"/>
  <c r="DA13" i="4"/>
  <c r="DA23" i="4" s="1"/>
  <c r="DM16" i="4"/>
  <c r="DM27" i="4" s="1"/>
  <c r="E5" i="3"/>
  <c r="F5" i="3" s="1"/>
  <c r="E9" i="3"/>
  <c r="BG37" i="4" s="1"/>
  <c r="BL12" i="4"/>
  <c r="BL22" i="4" s="1"/>
  <c r="AZ11" i="4"/>
  <c r="AZ21" i="4" s="1"/>
  <c r="AN10" i="4"/>
  <c r="AN20" i="4" s="1"/>
  <c r="AB9" i="4"/>
  <c r="AB19" i="4" s="1"/>
  <c r="D8" i="4"/>
  <c r="BL11" i="4"/>
  <c r="BL21" i="4" s="1"/>
  <c r="AZ10" i="4"/>
  <c r="AZ20" i="4" s="1"/>
  <c r="AN9" i="4"/>
  <c r="AN19" i="4" s="1"/>
  <c r="P8" i="4"/>
  <c r="BX12" i="4"/>
  <c r="BX22" i="4" s="1"/>
  <c r="CJ13" i="4"/>
  <c r="CJ23" i="4" s="1"/>
  <c r="BX11" i="4"/>
  <c r="BX21" i="4" s="1"/>
  <c r="BL10" i="4"/>
  <c r="BL20" i="4" s="1"/>
  <c r="AZ9" i="4"/>
  <c r="AZ19" i="4" s="1"/>
  <c r="AB8" i="4"/>
  <c r="DH13" i="4"/>
  <c r="DH23" i="4" s="1"/>
  <c r="CJ11" i="4"/>
  <c r="CJ21" i="4" s="1"/>
  <c r="BX10" i="4"/>
  <c r="BX20" i="4" s="1"/>
  <c r="BL9" i="4"/>
  <c r="BL19" i="4" s="1"/>
  <c r="AN8" i="4"/>
  <c r="CV11" i="4"/>
  <c r="CV21" i="4" s="1"/>
  <c r="CJ10" i="4"/>
  <c r="CJ20" i="4" s="1"/>
  <c r="BX9" i="4"/>
  <c r="BX19" i="4" s="1"/>
  <c r="AZ8" i="4"/>
  <c r="DH11" i="4"/>
  <c r="DH21" i="4" s="1"/>
  <c r="CV10" i="4"/>
  <c r="CV20" i="4" s="1"/>
  <c r="CJ9" i="4"/>
  <c r="CJ19" i="4" s="1"/>
  <c r="BL8" i="4"/>
  <c r="DH10" i="4"/>
  <c r="DH20" i="4" s="1"/>
  <c r="CV9" i="4"/>
  <c r="CV19" i="4" s="1"/>
  <c r="BX8" i="4"/>
  <c r="DH9" i="4"/>
  <c r="DH19" i="4" s="1"/>
  <c r="CJ8" i="4"/>
  <c r="CV18" i="4"/>
  <c r="DH18" i="4"/>
  <c r="DH15" i="4"/>
  <c r="C10" i="5"/>
  <c r="N35" i="4"/>
  <c r="N27" i="4"/>
  <c r="N16" i="4"/>
  <c r="C11" i="5" s="1"/>
  <c r="D10" i="5"/>
  <c r="Z35" i="4"/>
  <c r="E10" i="5"/>
  <c r="AL35" i="4"/>
  <c r="AL16" i="4"/>
  <c r="E11" i="5" s="1"/>
  <c r="B19" i="1" s="1"/>
  <c r="F10" i="5"/>
  <c r="AX35" i="4"/>
  <c r="G10" i="5"/>
  <c r="BJ35" i="4"/>
  <c r="H10" i="5"/>
  <c r="BV35" i="4"/>
  <c r="I10" i="5"/>
  <c r="CH35" i="4"/>
  <c r="J10" i="5"/>
  <c r="CT35" i="4"/>
  <c r="K10" i="5"/>
  <c r="DF35" i="4"/>
  <c r="L10" i="5"/>
  <c r="DR35" i="4"/>
  <c r="Z8" i="4"/>
  <c r="AX8" i="4"/>
  <c r="BV8" i="4"/>
  <c r="Z19" i="4"/>
  <c r="AX9" i="4"/>
  <c r="AX19" i="4" s="1"/>
  <c r="BV9" i="4"/>
  <c r="BV19" i="4" s="1"/>
  <c r="DC9" i="4"/>
  <c r="DC19" i="4" s="1"/>
  <c r="AW10" i="4"/>
  <c r="AW20" i="4" s="1"/>
  <c r="CC10" i="4"/>
  <c r="CC20" i="4" s="1"/>
  <c r="BJ11" i="4"/>
  <c r="BJ21" i="4" s="1"/>
  <c r="CQ11" i="4"/>
  <c r="CQ21" i="4" s="1"/>
  <c r="DQ11" i="4"/>
  <c r="DQ21" i="4" s="1"/>
  <c r="Y22" i="4"/>
  <c r="AW22" i="4"/>
  <c r="CR12" i="4"/>
  <c r="CR22" i="4" s="1"/>
  <c r="P23" i="4"/>
  <c r="AB23" i="4"/>
  <c r="AN23" i="4"/>
  <c r="AZ23" i="4"/>
  <c r="BL23" i="4"/>
  <c r="DB13" i="4"/>
  <c r="DB23" i="4" s="1"/>
  <c r="CS23" i="4"/>
  <c r="AI35" i="4"/>
  <c r="DC35" i="4"/>
  <c r="W19" i="4"/>
  <c r="BT10" i="4"/>
  <c r="BT20" i="4" s="1"/>
  <c r="BM12" i="4"/>
  <c r="BM22" i="4" s="1"/>
  <c r="BA11" i="4"/>
  <c r="BA21" i="4" s="1"/>
  <c r="AO10" i="4"/>
  <c r="AO20" i="4" s="1"/>
  <c r="AC9" i="4"/>
  <c r="AC19" i="4" s="1"/>
  <c r="E8" i="4"/>
  <c r="BM11" i="4"/>
  <c r="BM21" i="4" s="1"/>
  <c r="BA10" i="4"/>
  <c r="BA20" i="4" s="1"/>
  <c r="AO9" i="4"/>
  <c r="AO19" i="4" s="1"/>
  <c r="Q8" i="4"/>
  <c r="BY12" i="4"/>
  <c r="BY22" i="4" s="1"/>
  <c r="BY11" i="4"/>
  <c r="BY21" i="4" s="1"/>
  <c r="BM10" i="4"/>
  <c r="BM20" i="4" s="1"/>
  <c r="BA9" i="4"/>
  <c r="BA19" i="4" s="1"/>
  <c r="AC8" i="4"/>
  <c r="CK12" i="4"/>
  <c r="CK22" i="4" s="1"/>
  <c r="CW13" i="4"/>
  <c r="CW23" i="4" s="1"/>
  <c r="DI13" i="4"/>
  <c r="DI23" i="4" s="1"/>
  <c r="CK11" i="4"/>
  <c r="CK21" i="4" s="1"/>
  <c r="BY10" i="4"/>
  <c r="BY20" i="4" s="1"/>
  <c r="BM9" i="4"/>
  <c r="BM19" i="4" s="1"/>
  <c r="AO8" i="4"/>
  <c r="CW11" i="4"/>
  <c r="CW21" i="4" s="1"/>
  <c r="CK10" i="4"/>
  <c r="CK20" i="4" s="1"/>
  <c r="BY9" i="4"/>
  <c r="BY19" i="4" s="1"/>
  <c r="BA8" i="4"/>
  <c r="DI11" i="4"/>
  <c r="DI21" i="4" s="1"/>
  <c r="CW10" i="4"/>
  <c r="CW20" i="4" s="1"/>
  <c r="CK9" i="4"/>
  <c r="CK19" i="4" s="1"/>
  <c r="BM8" i="4"/>
  <c r="DI10" i="4"/>
  <c r="DI20" i="4" s="1"/>
  <c r="CW9" i="4"/>
  <c r="CW19" i="4" s="1"/>
  <c r="CW25" i="4" s="1"/>
  <c r="BY8" i="4"/>
  <c r="DI9" i="4"/>
  <c r="DI19" i="4" s="1"/>
  <c r="DI25" i="4" s="1"/>
  <c r="CK8" i="4"/>
  <c r="C35" i="4"/>
  <c r="O35" i="4"/>
  <c r="AA35" i="4"/>
  <c r="AM35" i="4"/>
  <c r="I8" i="4"/>
  <c r="AG8" i="4"/>
  <c r="BE8" i="4"/>
  <c r="CC8" i="4"/>
  <c r="AG9" i="4"/>
  <c r="AG19" i="4" s="1"/>
  <c r="BE9" i="4"/>
  <c r="BE19" i="4" s="1"/>
  <c r="CC9" i="4"/>
  <c r="CC19" i="4" s="1"/>
  <c r="AX10" i="4"/>
  <c r="AX20" i="4" s="1"/>
  <c r="CE10" i="4"/>
  <c r="CE20" i="4" s="1"/>
  <c r="T21" i="4"/>
  <c r="BQ11" i="4"/>
  <c r="BQ21" i="4" s="1"/>
  <c r="CR11" i="4"/>
  <c r="CR21" i="4" s="1"/>
  <c r="DR11" i="4"/>
  <c r="DR21" i="4" s="1"/>
  <c r="N22" i="4"/>
  <c r="Z22" i="4"/>
  <c r="AX22" i="4"/>
  <c r="BJ22" i="4"/>
  <c r="CT12" i="4"/>
  <c r="CT22" i="4" s="1"/>
  <c r="E23" i="4"/>
  <c r="Q23" i="4"/>
  <c r="AC23" i="4"/>
  <c r="AO23" i="4"/>
  <c r="BA23" i="4"/>
  <c r="BM23" i="4"/>
  <c r="DD23" i="4"/>
  <c r="DD22" i="4"/>
  <c r="J35" i="4"/>
  <c r="W35" i="4"/>
  <c r="CQ35" i="4"/>
  <c r="BS9" i="4"/>
  <c r="BS19" i="4" s="1"/>
  <c r="CH23" i="4"/>
  <c r="BN12" i="4"/>
  <c r="BN22" i="4" s="1"/>
  <c r="BB11" i="4"/>
  <c r="BB21" i="4" s="1"/>
  <c r="AP10" i="4"/>
  <c r="AP20" i="4" s="1"/>
  <c r="AD9" i="4"/>
  <c r="AD19" i="4" s="1"/>
  <c r="F8" i="4"/>
  <c r="BN11" i="4"/>
  <c r="BN21" i="4" s="1"/>
  <c r="BB10" i="4"/>
  <c r="BB20" i="4" s="1"/>
  <c r="AP9" i="4"/>
  <c r="AP19" i="4" s="1"/>
  <c r="R8" i="4"/>
  <c r="BZ12" i="4"/>
  <c r="BZ22" i="4" s="1"/>
  <c r="BZ11" i="4"/>
  <c r="BZ21" i="4" s="1"/>
  <c r="BN10" i="4"/>
  <c r="BN20" i="4" s="1"/>
  <c r="BB9" i="4"/>
  <c r="BB19" i="4" s="1"/>
  <c r="AD8" i="4"/>
  <c r="CL12" i="4"/>
  <c r="CL22" i="4" s="1"/>
  <c r="CL11" i="4"/>
  <c r="CL21" i="4" s="1"/>
  <c r="BZ10" i="4"/>
  <c r="BZ20" i="4" s="1"/>
  <c r="BN9" i="4"/>
  <c r="BN19" i="4" s="1"/>
  <c r="AP8" i="4"/>
  <c r="CX12" i="4"/>
  <c r="CX22" i="4" s="1"/>
  <c r="CX11" i="4"/>
  <c r="CX21" i="4" s="1"/>
  <c r="CL10" i="4"/>
  <c r="CL20" i="4" s="1"/>
  <c r="BZ9" i="4"/>
  <c r="BZ19" i="4" s="1"/>
  <c r="BB8" i="4"/>
  <c r="DJ11" i="4"/>
  <c r="DJ21" i="4" s="1"/>
  <c r="CX10" i="4"/>
  <c r="CX20" i="4" s="1"/>
  <c r="CL9" i="4"/>
  <c r="CL19" i="4" s="1"/>
  <c r="BN8" i="4"/>
  <c r="DJ10" i="4"/>
  <c r="DJ20" i="4" s="1"/>
  <c r="DJ25" i="4" s="1"/>
  <c r="CX9" i="4"/>
  <c r="CX19" i="4" s="1"/>
  <c r="BZ8" i="4"/>
  <c r="DJ9" i="4"/>
  <c r="DJ19" i="4" s="1"/>
  <c r="CL8" i="4"/>
  <c r="CX18" i="4"/>
  <c r="D35" i="4"/>
  <c r="J8" i="4"/>
  <c r="AH8" i="4"/>
  <c r="BF8" i="4"/>
  <c r="CD8" i="4"/>
  <c r="AH9" i="4"/>
  <c r="AH19" i="4" s="1"/>
  <c r="BF9" i="4"/>
  <c r="BF19" i="4" s="1"/>
  <c r="CE9" i="4"/>
  <c r="CE19" i="4" s="1"/>
  <c r="H20" i="4"/>
  <c r="BE10" i="4"/>
  <c r="BE20" i="4" s="1"/>
  <c r="CF10" i="4"/>
  <c r="CF20" i="4" s="1"/>
  <c r="I21" i="4"/>
  <c r="U21" i="4"/>
  <c r="AS21" i="4"/>
  <c r="BS11" i="4"/>
  <c r="BS21" i="4" s="1"/>
  <c r="CS11" i="4"/>
  <c r="CS21" i="4" s="1"/>
  <c r="O22" i="4"/>
  <c r="AA22" i="4"/>
  <c r="AY22" i="4"/>
  <c r="BQ12" i="4"/>
  <c r="BQ22" i="4" s="1"/>
  <c r="CU12" i="4"/>
  <c r="CU22" i="4" s="1"/>
  <c r="F23" i="4"/>
  <c r="R23" i="4"/>
  <c r="AD23" i="4"/>
  <c r="AP23" i="4"/>
  <c r="BB23" i="4"/>
  <c r="BN23" i="4"/>
  <c r="DN13" i="4"/>
  <c r="DN23" i="4" s="1"/>
  <c r="DE13" i="4"/>
  <c r="DE23" i="4" s="1"/>
  <c r="CS12" i="4"/>
  <c r="CS22" i="4" s="1"/>
  <c r="BG35" i="4"/>
  <c r="AU8" i="4"/>
  <c r="AS20" i="4"/>
  <c r="BG11" i="4"/>
  <c r="BG21" i="4" s="1"/>
  <c r="CT23" i="4"/>
  <c r="BO12" i="4"/>
  <c r="BO22" i="4" s="1"/>
  <c r="BC11" i="4"/>
  <c r="BC21" i="4" s="1"/>
  <c r="AQ10" i="4"/>
  <c r="AQ20" i="4" s="1"/>
  <c r="AE9" i="4"/>
  <c r="AE19" i="4" s="1"/>
  <c r="G8" i="4"/>
  <c r="BO11" i="4"/>
  <c r="BO21" i="4" s="1"/>
  <c r="BC10" i="4"/>
  <c r="BC20" i="4" s="1"/>
  <c r="AQ9" i="4"/>
  <c r="AQ19" i="4" s="1"/>
  <c r="S8" i="4"/>
  <c r="CA12" i="4"/>
  <c r="CA22" i="4" s="1"/>
  <c r="CY13" i="4"/>
  <c r="CY23" i="4" s="1"/>
  <c r="CA11" i="4"/>
  <c r="CA21" i="4" s="1"/>
  <c r="BO10" i="4"/>
  <c r="BO20" i="4" s="1"/>
  <c r="BC9" i="4"/>
  <c r="BC19" i="4" s="1"/>
  <c r="AE8" i="4"/>
  <c r="CM12" i="4"/>
  <c r="CM22" i="4" s="1"/>
  <c r="DK13" i="4"/>
  <c r="DK23" i="4" s="1"/>
  <c r="CM11" i="4"/>
  <c r="CM21" i="4" s="1"/>
  <c r="CA10" i="4"/>
  <c r="CA20" i="4" s="1"/>
  <c r="BO9" i="4"/>
  <c r="BO19" i="4" s="1"/>
  <c r="AQ8" i="4"/>
  <c r="CY12" i="4"/>
  <c r="CY22" i="4" s="1"/>
  <c r="CY11" i="4"/>
  <c r="CY21" i="4" s="1"/>
  <c r="CM10" i="4"/>
  <c r="CM20" i="4" s="1"/>
  <c r="CA9" i="4"/>
  <c r="CA19" i="4" s="1"/>
  <c r="BC8" i="4"/>
  <c r="DK12" i="4"/>
  <c r="DK22" i="4" s="1"/>
  <c r="DK11" i="4"/>
  <c r="DK21" i="4" s="1"/>
  <c r="CY10" i="4"/>
  <c r="CY20" i="4" s="1"/>
  <c r="CM9" i="4"/>
  <c r="CM19" i="4" s="1"/>
  <c r="BO8" i="4"/>
  <c r="DK10" i="4"/>
  <c r="DK20" i="4" s="1"/>
  <c r="CY9" i="4"/>
  <c r="CY19" i="4" s="1"/>
  <c r="CA8" i="4"/>
  <c r="DK9" i="4"/>
  <c r="DK19" i="4" s="1"/>
  <c r="CM8" i="4"/>
  <c r="CY18" i="4"/>
  <c r="CY25" i="4" s="1"/>
  <c r="CY15" i="4"/>
  <c r="CY16" i="4" s="1"/>
  <c r="CY27" i="4" s="1"/>
  <c r="DK18" i="4"/>
  <c r="E35" i="4"/>
  <c r="K8" i="4"/>
  <c r="AI8" i="4"/>
  <c r="BG8" i="4"/>
  <c r="AI9" i="4"/>
  <c r="AI19" i="4" s="1"/>
  <c r="BG9" i="4"/>
  <c r="BG19" i="4" s="1"/>
  <c r="CF9" i="4"/>
  <c r="CF19" i="4" s="1"/>
  <c r="I20" i="4"/>
  <c r="U20" i="4"/>
  <c r="AG20" i="4"/>
  <c r="BG10" i="4"/>
  <c r="BG20" i="4" s="1"/>
  <c r="J21" i="4"/>
  <c r="AH21" i="4"/>
  <c r="BT11" i="4"/>
  <c r="BT21" i="4" s="1"/>
  <c r="CT11" i="4"/>
  <c r="CT21" i="4" s="1"/>
  <c r="P22" i="4"/>
  <c r="AB22" i="4"/>
  <c r="AZ22" i="4"/>
  <c r="BT12" i="4"/>
  <c r="BT22" i="4" s="1"/>
  <c r="CV12" i="4"/>
  <c r="CV22" i="4" s="1"/>
  <c r="G23" i="4"/>
  <c r="S23" i="4"/>
  <c r="AE23" i="4"/>
  <c r="AQ23" i="4"/>
  <c r="BC23" i="4"/>
  <c r="BO23" i="4"/>
  <c r="CI13" i="4"/>
  <c r="CI23" i="4" s="1"/>
  <c r="DP13" i="4"/>
  <c r="DP23" i="4" s="1"/>
  <c r="J20" i="4"/>
  <c r="V20" i="4"/>
  <c r="V21" i="4"/>
  <c r="AT21" i="4"/>
  <c r="J22" i="4"/>
  <c r="V22" i="4"/>
  <c r="AT22" i="4"/>
  <c r="BF22" i="4"/>
  <c r="O23" i="4"/>
  <c r="AA23" i="4"/>
  <c r="AY23" i="4"/>
  <c r="BK23" i="4"/>
  <c r="AY35" i="4"/>
  <c r="BW35" i="4"/>
  <c r="CI35" i="4"/>
  <c r="CU35" i="4"/>
  <c r="DG35" i="4"/>
  <c r="C19" i="4"/>
  <c r="C20" i="4"/>
  <c r="O20" i="4"/>
  <c r="AA20" i="4"/>
  <c r="AA21" i="4"/>
  <c r="AM21" i="4"/>
  <c r="AM22" i="4"/>
  <c r="T23" i="4"/>
  <c r="AF23" i="4"/>
  <c r="BD23" i="4"/>
  <c r="BP23" i="4"/>
  <c r="P35" i="4"/>
  <c r="AB35" i="4"/>
  <c r="AN35" i="4"/>
  <c r="AZ35" i="4"/>
  <c r="BL35" i="4"/>
  <c r="BX35" i="4"/>
  <c r="CJ35" i="4"/>
  <c r="CV35" i="4"/>
  <c r="DH35" i="4"/>
  <c r="D19" i="4"/>
  <c r="P19" i="4"/>
  <c r="D20" i="4"/>
  <c r="P20" i="4"/>
  <c r="AB20" i="4"/>
  <c r="AN21" i="4"/>
  <c r="AN22" i="4"/>
  <c r="I23" i="4"/>
  <c r="AG23" i="4"/>
  <c r="Q35" i="4"/>
  <c r="AC35" i="4"/>
  <c r="AO35" i="4"/>
  <c r="BA35" i="4"/>
  <c r="BM35" i="4"/>
  <c r="BY35" i="4"/>
  <c r="CK35" i="4"/>
  <c r="CW35" i="4"/>
  <c r="DI35" i="4"/>
  <c r="E19" i="4"/>
  <c r="Q19" i="4"/>
  <c r="E20" i="4"/>
  <c r="AC20" i="4"/>
  <c r="E21" i="4"/>
  <c r="AO21" i="4"/>
  <c r="E22" i="4"/>
  <c r="Q22" i="4"/>
  <c r="AC22" i="4"/>
  <c r="AO22" i="4"/>
  <c r="BA22" i="4"/>
  <c r="J23" i="4"/>
  <c r="AH23" i="4"/>
  <c r="AD35" i="4"/>
  <c r="AP35" i="4"/>
  <c r="BB35" i="4"/>
  <c r="BN35" i="4"/>
  <c r="BZ35" i="4"/>
  <c r="CL35" i="4"/>
  <c r="CX35" i="4"/>
  <c r="DJ35" i="4"/>
  <c r="R19" i="4"/>
  <c r="F20" i="4"/>
  <c r="F21" i="4"/>
  <c r="AD21" i="4"/>
  <c r="AP21" i="4"/>
  <c r="F22" i="4"/>
  <c r="R22" i="4"/>
  <c r="AD22" i="4"/>
  <c r="AP22" i="4"/>
  <c r="BB22" i="4"/>
  <c r="K23" i="4"/>
  <c r="BG23" i="4"/>
  <c r="S35" i="4"/>
  <c r="AE35" i="4"/>
  <c r="AQ35" i="4"/>
  <c r="BC35" i="4"/>
  <c r="BO35" i="4"/>
  <c r="CA35" i="4"/>
  <c r="CM35" i="4"/>
  <c r="CY35" i="4"/>
  <c r="DK35" i="4"/>
  <c r="G19" i="4"/>
  <c r="S19" i="4"/>
  <c r="G20" i="4"/>
  <c r="S20" i="4"/>
  <c r="AE20" i="4"/>
  <c r="G21" i="4"/>
  <c r="S21" i="4"/>
  <c r="AE21" i="4"/>
  <c r="AQ21" i="4"/>
  <c r="G22" i="4"/>
  <c r="S22" i="4"/>
  <c r="AE22" i="4"/>
  <c r="AQ22" i="4"/>
  <c r="BC22" i="4"/>
  <c r="AV23" i="4"/>
  <c r="BT23" i="4"/>
  <c r="H35" i="4"/>
  <c r="T35" i="4"/>
  <c r="AF35" i="4"/>
  <c r="AR35" i="4"/>
  <c r="BD35" i="4"/>
  <c r="BP35" i="4"/>
  <c r="CB35" i="4"/>
  <c r="CN35" i="4"/>
  <c r="CZ35" i="4"/>
  <c r="DL35" i="4"/>
  <c r="CN8" i="4"/>
  <c r="T19" i="4"/>
  <c r="H21" i="4"/>
  <c r="AF21" i="4"/>
  <c r="AR21" i="4"/>
  <c r="H22" i="4"/>
  <c r="AF22" i="4"/>
  <c r="AR22" i="4"/>
  <c r="AW23" i="4"/>
  <c r="BU23" i="4"/>
  <c r="K22" i="4"/>
  <c r="BG22" i="4"/>
  <c r="AI23" i="4"/>
  <c r="H5" i="3" l="1"/>
  <c r="I5" i="3"/>
  <c r="DI28" i="4"/>
  <c r="I6" i="3"/>
  <c r="H6" i="3"/>
  <c r="CW28" i="4"/>
  <c r="DJ28" i="4"/>
  <c r="BG18" i="4"/>
  <c r="BG25" i="4" s="1"/>
  <c r="BG15" i="4"/>
  <c r="C15" i="4"/>
  <c r="C18" i="4"/>
  <c r="CN15" i="4"/>
  <c r="CN18" i="4"/>
  <c r="CN25" i="4" s="1"/>
  <c r="G18" i="4"/>
  <c r="G25" i="4" s="1"/>
  <c r="G15" i="4"/>
  <c r="BY15" i="4"/>
  <c r="BY18" i="4"/>
  <c r="BY25" i="4" s="1"/>
  <c r="AX18" i="4"/>
  <c r="AX25" i="4" s="1"/>
  <c r="AX15" i="4"/>
  <c r="J12" i="5"/>
  <c r="D18" i="4"/>
  <c r="D25" i="4" s="1"/>
  <c r="D15" i="4"/>
  <c r="CI15" i="4"/>
  <c r="CI18" i="4"/>
  <c r="CI25" i="4" s="1"/>
  <c r="B50" i="4"/>
  <c r="B51" i="4" s="1"/>
  <c r="BQ15" i="4"/>
  <c r="CH19" i="4"/>
  <c r="CH25" i="4" s="1"/>
  <c r="CH15" i="4"/>
  <c r="AJ18" i="4"/>
  <c r="AJ25" i="4" s="1"/>
  <c r="AJ15" i="4"/>
  <c r="DL25" i="4"/>
  <c r="CE15" i="4"/>
  <c r="DA15" i="4"/>
  <c r="CN37" i="4"/>
  <c r="DN37" i="4"/>
  <c r="H37" i="4"/>
  <c r="BF37" i="4"/>
  <c r="DD37" i="4"/>
  <c r="CG37" i="4"/>
  <c r="DF37" i="4"/>
  <c r="Q37" i="4"/>
  <c r="AP37" i="4"/>
  <c r="BO37" i="4"/>
  <c r="CY28" i="4"/>
  <c r="CY29" i="4" s="1"/>
  <c r="J15" i="4"/>
  <c r="J18" i="4"/>
  <c r="J25" i="4" s="1"/>
  <c r="CC18" i="4"/>
  <c r="CC25" i="4" s="1"/>
  <c r="CC15" i="4"/>
  <c r="DK15" i="4"/>
  <c r="CD15" i="4"/>
  <c r="CD18" i="4"/>
  <c r="CD25" i="4" s="1"/>
  <c r="F18" i="4"/>
  <c r="F25" i="4" s="1"/>
  <c r="F15" i="4"/>
  <c r="Z15" i="4"/>
  <c r="Z18" i="4"/>
  <c r="Z25" i="4" s="1"/>
  <c r="BL18" i="4"/>
  <c r="BL25" i="4" s="1"/>
  <c r="BL15" i="4"/>
  <c r="AM15" i="4"/>
  <c r="AM18" i="4"/>
  <c r="AM25" i="4" s="1"/>
  <c r="BQ25" i="4"/>
  <c r="AL28" i="4"/>
  <c r="L18" i="4"/>
  <c r="L25" i="4" s="1"/>
  <c r="L15" i="4"/>
  <c r="CB18" i="4"/>
  <c r="CB25" i="4" s="1"/>
  <c r="CB15" i="4"/>
  <c r="T18" i="4"/>
  <c r="T25" i="4" s="1"/>
  <c r="T15" i="4"/>
  <c r="DQ15" i="4"/>
  <c r="DA28" i="4"/>
  <c r="DL37" i="4"/>
  <c r="C37" i="4" a="1"/>
  <c r="C37" i="4" s="1"/>
  <c r="AF37" i="4"/>
  <c r="CD37" i="4"/>
  <c r="P37" i="4"/>
  <c r="CS37" i="4"/>
  <c r="DR37" i="4"/>
  <c r="AC37" i="4"/>
  <c r="BB37" i="4"/>
  <c r="CA37" i="4"/>
  <c r="BJ20" i="4"/>
  <c r="BJ15" i="4"/>
  <c r="AR15" i="4"/>
  <c r="AR18" i="4"/>
  <c r="AR25" i="4" s="1"/>
  <c r="DQ25" i="4"/>
  <c r="CX40" i="4"/>
  <c r="BY40" i="4"/>
  <c r="AY40" i="4"/>
  <c r="AL40" i="4"/>
  <c r="M40" i="4"/>
  <c r="L40" i="4"/>
  <c r="CC40" i="4"/>
  <c r="AB40" i="4"/>
  <c r="CO40" i="4"/>
  <c r="W40" i="4"/>
  <c r="I4" i="3"/>
  <c r="H4" i="3"/>
  <c r="U37" i="4"/>
  <c r="X37" i="4"/>
  <c r="BD37" i="4"/>
  <c r="DB37" i="4"/>
  <c r="AN37" i="4"/>
  <c r="DE37" i="4"/>
  <c r="O37" i="4"/>
  <c r="AO37" i="4"/>
  <c r="BN37" i="4"/>
  <c r="CM37" i="4"/>
  <c r="BN18" i="4"/>
  <c r="BN25" i="4" s="1"/>
  <c r="BN15" i="4"/>
  <c r="AB18" i="4"/>
  <c r="AB25" i="4" s="1"/>
  <c r="AB15" i="4"/>
  <c r="BT18" i="4"/>
  <c r="BT25" i="4" s="1"/>
  <c r="BT15" i="4"/>
  <c r="AS16" i="4"/>
  <c r="AS27" i="4" s="1"/>
  <c r="BC18" i="4"/>
  <c r="BC25" i="4" s="1"/>
  <c r="BC15" i="4"/>
  <c r="AH18" i="4"/>
  <c r="AH25" i="4" s="1"/>
  <c r="AH15" i="4"/>
  <c r="BM18" i="4"/>
  <c r="BM25" i="4" s="1"/>
  <c r="BM15" i="4"/>
  <c r="E18" i="4"/>
  <c r="E25" i="4" s="1"/>
  <c r="E15" i="4"/>
  <c r="BU18" i="4"/>
  <c r="BU25" i="4" s="1"/>
  <c r="BU15" i="4"/>
  <c r="AV15" i="4"/>
  <c r="AV18" i="4"/>
  <c r="AV25" i="4" s="1"/>
  <c r="DJ15" i="4"/>
  <c r="CP15" i="4"/>
  <c r="CP18" i="4"/>
  <c r="CP25" i="4" s="1"/>
  <c r="AS25" i="4"/>
  <c r="N25" i="4"/>
  <c r="CG18" i="4"/>
  <c r="CG25" i="4" s="1"/>
  <c r="CG15" i="4"/>
  <c r="DE15" i="4"/>
  <c r="E10" i="3"/>
  <c r="B6" i="1" s="1"/>
  <c r="AS37" i="4"/>
  <c r="AV37" i="4"/>
  <c r="CB37" i="4"/>
  <c r="K37" i="4"/>
  <c r="BL37" i="4"/>
  <c r="DQ37" i="4"/>
  <c r="AA37" i="4"/>
  <c r="BA37" i="4"/>
  <c r="BZ37" i="4"/>
  <c r="CY37" i="4"/>
  <c r="AD15" i="4"/>
  <c r="AD18" i="4"/>
  <c r="AD25" i="4" s="1"/>
  <c r="AW15" i="4"/>
  <c r="AW18" i="4"/>
  <c r="AW25" i="4" s="1"/>
  <c r="X18" i="4"/>
  <c r="X25" i="4" s="1"/>
  <c r="X15" i="4"/>
  <c r="BR18" i="4"/>
  <c r="BR25" i="4" s="1"/>
  <c r="BR15" i="4"/>
  <c r="U34" i="4"/>
  <c r="BI15" i="4"/>
  <c r="BI18" i="4"/>
  <c r="BI25" i="4" s="1"/>
  <c r="BP18" i="4"/>
  <c r="BP25" i="4" s="1"/>
  <c r="BP15" i="4"/>
  <c r="DE25" i="4"/>
  <c r="DP15" i="4"/>
  <c r="F9" i="3"/>
  <c r="BC40" i="4" s="1"/>
  <c r="W37" i="4"/>
  <c r="BQ37" i="4"/>
  <c r="BT37" i="4"/>
  <c r="CZ37" i="4"/>
  <c r="AI37" i="4"/>
  <c r="CJ37" i="4"/>
  <c r="N37" i="4"/>
  <c r="AM37" i="4"/>
  <c r="BM37" i="4"/>
  <c r="CL37" i="4"/>
  <c r="DK37" i="4"/>
  <c r="DR15" i="4"/>
  <c r="CS15" i="4"/>
  <c r="DP25" i="4"/>
  <c r="DO15" i="4"/>
  <c r="AU37" i="4"/>
  <c r="CO37" i="4"/>
  <c r="CR37" i="4"/>
  <c r="I37" i="4"/>
  <c r="DH37" i="4"/>
  <c r="Z37" i="4"/>
  <c r="AY37" i="4"/>
  <c r="BY37" i="4"/>
  <c r="CX37" i="4"/>
  <c r="DR25" i="4"/>
  <c r="DK25" i="4"/>
  <c r="BF18" i="4"/>
  <c r="BF25" i="4" s="1"/>
  <c r="BF15" i="4"/>
  <c r="BW18" i="4"/>
  <c r="BW25" i="4" s="1"/>
  <c r="BW15" i="4"/>
  <c r="AA18" i="4"/>
  <c r="AA25" i="4" s="1"/>
  <c r="AA15" i="4"/>
  <c r="V18" i="4"/>
  <c r="V25" i="4" s="1"/>
  <c r="V15" i="4"/>
  <c r="M18" i="4"/>
  <c r="M25" i="4" s="1"/>
  <c r="M15" i="4"/>
  <c r="H18" i="4"/>
  <c r="H25" i="4" s="1"/>
  <c r="H15" i="4"/>
  <c r="CS25" i="4"/>
  <c r="DD25" i="4"/>
  <c r="DO25" i="4"/>
  <c r="DN15" i="4"/>
  <c r="BS37" i="4"/>
  <c r="DM37" i="4"/>
  <c r="DP37" i="4"/>
  <c r="AG37" i="4"/>
  <c r="CE37" i="4"/>
  <c r="M37" i="4"/>
  <c r="AL37" i="4"/>
  <c r="BK37" i="4"/>
  <c r="H7" i="5" s="1"/>
  <c r="CK37" i="4"/>
  <c r="DJ37" i="4"/>
  <c r="CT15" i="4"/>
  <c r="DH16" i="4"/>
  <c r="DH27" i="4" s="1"/>
  <c r="AI15" i="4"/>
  <c r="AI18" i="4"/>
  <c r="AI25" i="4" s="1"/>
  <c r="AL27" i="4"/>
  <c r="AL29" i="4" s="1"/>
  <c r="K15" i="4"/>
  <c r="K18" i="4"/>
  <c r="K25" i="4" s="1"/>
  <c r="BB15" i="4"/>
  <c r="BB18" i="4"/>
  <c r="BB25" i="4" s="1"/>
  <c r="AG18" i="4"/>
  <c r="AG25" i="4" s="1"/>
  <c r="AG15" i="4"/>
  <c r="AC18" i="4"/>
  <c r="AC25" i="4" s="1"/>
  <c r="AC15" i="4"/>
  <c r="CV25" i="4"/>
  <c r="CA18" i="4"/>
  <c r="CA25" i="4" s="1"/>
  <c r="CA15" i="4"/>
  <c r="I15" i="4"/>
  <c r="I18" i="4"/>
  <c r="I25" i="4" s="1"/>
  <c r="BA18" i="4"/>
  <c r="BA25" i="4" s="1"/>
  <c r="BA15" i="4"/>
  <c r="H12" i="5"/>
  <c r="CV15" i="4"/>
  <c r="C22" i="4"/>
  <c r="C21" i="4"/>
  <c r="DD15" i="4"/>
  <c r="DC25" i="4"/>
  <c r="DN25" i="4"/>
  <c r="CQ37" i="4"/>
  <c r="B54" i="4"/>
  <c r="D37" i="4"/>
  <c r="BE37" i="4"/>
  <c r="DC37" i="4"/>
  <c r="Y37" i="4"/>
  <c r="AX37" i="4"/>
  <c r="BW37" i="4"/>
  <c r="CW37" i="4"/>
  <c r="G37" i="4"/>
  <c r="BJ25" i="4"/>
  <c r="CT25" i="4"/>
  <c r="AF18" i="4"/>
  <c r="AF25" i="4" s="1"/>
  <c r="AF15" i="4"/>
  <c r="CR25" i="4"/>
  <c r="DC15" i="4"/>
  <c r="DB15" i="4"/>
  <c r="DO37" i="4"/>
  <c r="V37" i="4"/>
  <c r="AB37" i="4"/>
  <c r="CC37" i="4"/>
  <c r="L37" i="4"/>
  <c r="AK37" i="4"/>
  <c r="BJ37" i="4"/>
  <c r="CI37" i="4"/>
  <c r="J7" i="5" s="1"/>
  <c r="DI37" i="4"/>
  <c r="S37" i="4"/>
  <c r="DH25" i="4"/>
  <c r="Y15" i="4"/>
  <c r="Y18" i="4"/>
  <c r="Y25" i="4" s="1"/>
  <c r="AT18" i="4"/>
  <c r="AT25" i="4" s="1"/>
  <c r="AT15" i="4"/>
  <c r="AU18" i="4"/>
  <c r="AU25" i="4" s="1"/>
  <c r="AU15" i="4"/>
  <c r="P18" i="4"/>
  <c r="P25" i="4" s="1"/>
  <c r="P15" i="4"/>
  <c r="DG15" i="4"/>
  <c r="DH34" i="4" s="1"/>
  <c r="CL15" i="4"/>
  <c r="CL18" i="4"/>
  <c r="CL25" i="4" s="1"/>
  <c r="R18" i="4"/>
  <c r="R25" i="4" s="1"/>
  <c r="R15" i="4"/>
  <c r="CW15" i="4"/>
  <c r="AN18" i="4"/>
  <c r="AN25" i="4" s="1"/>
  <c r="AN15" i="4"/>
  <c r="DG25" i="4"/>
  <c r="AY18" i="4"/>
  <c r="AY25" i="4" s="1"/>
  <c r="AY15" i="4"/>
  <c r="CZ15" i="4"/>
  <c r="DM25" i="4"/>
  <c r="BD15" i="4"/>
  <c r="BD18" i="4"/>
  <c r="BD25" i="4" s="1"/>
  <c r="CR15" i="4"/>
  <c r="CQ15" i="4"/>
  <c r="DB25" i="4"/>
  <c r="T37" i="4"/>
  <c r="AT37" i="4"/>
  <c r="AZ37" i="4"/>
  <c r="DA37" i="4"/>
  <c r="AJ37" i="4"/>
  <c r="AW37" i="4"/>
  <c r="BV37" i="4"/>
  <c r="CU37" i="4"/>
  <c r="F37" i="4"/>
  <c r="AE37" i="4"/>
  <c r="AE18" i="4"/>
  <c r="AE25" i="4" s="1"/>
  <c r="AE15" i="4"/>
  <c r="CM18" i="4"/>
  <c r="CM25" i="4" s="1"/>
  <c r="CM15" i="4"/>
  <c r="AK18" i="4"/>
  <c r="AK25" i="4" s="1"/>
  <c r="AK15" i="4"/>
  <c r="AL34" i="4" s="1"/>
  <c r="AQ18" i="4"/>
  <c r="AQ25" i="4" s="1"/>
  <c r="AQ15" i="4"/>
  <c r="BO18" i="4"/>
  <c r="BO25" i="4" s="1"/>
  <c r="BO15" i="4"/>
  <c r="CK18" i="4"/>
  <c r="CK25" i="4" s="1"/>
  <c r="CK15" i="4"/>
  <c r="BX18" i="4"/>
  <c r="BX25" i="4" s="1"/>
  <c r="BX15" i="4"/>
  <c r="C23" i="4"/>
  <c r="CU15" i="4"/>
  <c r="CO15" i="4"/>
  <c r="DF15" i="4"/>
  <c r="CF18" i="4"/>
  <c r="CF25" i="4" s="1"/>
  <c r="CF15" i="4"/>
  <c r="CQ25" i="4"/>
  <c r="CX15" i="4"/>
  <c r="AR37" i="4"/>
  <c r="BR37" i="4"/>
  <c r="BX37" i="4"/>
  <c r="J37" i="4"/>
  <c r="BH37" i="4"/>
  <c r="BI37" i="4"/>
  <c r="CH37" i="4"/>
  <c r="DG37" i="4"/>
  <c r="R37" i="4"/>
  <c r="AQ37" i="4"/>
  <c r="BE18" i="4"/>
  <c r="BE25" i="4" s="1"/>
  <c r="BE15" i="4"/>
  <c r="AZ18" i="4"/>
  <c r="AZ25" i="4" s="1"/>
  <c r="AZ15" i="4"/>
  <c r="BK18" i="4"/>
  <c r="BK25" i="4" s="1"/>
  <c r="BK15" i="4"/>
  <c r="W15" i="4"/>
  <c r="W18" i="4"/>
  <c r="W25" i="4" s="1"/>
  <c r="U25" i="4"/>
  <c r="S18" i="4"/>
  <c r="S25" i="4" s="1"/>
  <c r="S15" i="4"/>
  <c r="CX25" i="4"/>
  <c r="DI15" i="4"/>
  <c r="CJ18" i="4"/>
  <c r="CJ25" i="4" s="1"/>
  <c r="CJ15" i="4"/>
  <c r="BZ18" i="4"/>
  <c r="BZ25" i="4" s="1"/>
  <c r="BZ15" i="4"/>
  <c r="AP18" i="4"/>
  <c r="AP25" i="4" s="1"/>
  <c r="AP15" i="4"/>
  <c r="AO15" i="4"/>
  <c r="AO18" i="4"/>
  <c r="AO25" i="4" s="1"/>
  <c r="Q18" i="4"/>
  <c r="Q25" i="4" s="1"/>
  <c r="Q15" i="4"/>
  <c r="BV15" i="4"/>
  <c r="BV18" i="4"/>
  <c r="BV25" i="4" s="1"/>
  <c r="CU25" i="4"/>
  <c r="O18" i="4"/>
  <c r="O25" i="4" s="1"/>
  <c r="O15" i="4"/>
  <c r="BS18" i="4"/>
  <c r="BS25" i="4" s="1"/>
  <c r="BS15" i="4"/>
  <c r="CO25" i="4"/>
  <c r="DF25" i="4"/>
  <c r="BH18" i="4"/>
  <c r="BH25" i="4" s="1"/>
  <c r="BH15" i="4"/>
  <c r="CZ25" i="4"/>
  <c r="DL15" i="4"/>
  <c r="CE25" i="4"/>
  <c r="BP37" i="4"/>
  <c r="CP37" i="4"/>
  <c r="CV37" i="4"/>
  <c r="AH37" i="4"/>
  <c r="CF37" i="4"/>
  <c r="BU37" i="4"/>
  <c r="CT37" i="4"/>
  <c r="E37" i="4"/>
  <c r="AD37" i="4"/>
  <c r="BC37" i="4"/>
  <c r="CH28" i="4" l="1"/>
  <c r="AL36" i="4"/>
  <c r="AL38" i="4" s="1"/>
  <c r="AL42" i="4" s="1"/>
  <c r="B53" i="4"/>
  <c r="B13" i="1"/>
  <c r="DP28" i="4"/>
  <c r="K7" i="5"/>
  <c r="K12" i="5" s="1"/>
  <c r="BD34" i="4"/>
  <c r="BD16" i="4"/>
  <c r="BD27" i="4" s="1"/>
  <c r="CL28" i="4"/>
  <c r="CR28" i="4"/>
  <c r="BA34" i="4"/>
  <c r="BA16" i="4"/>
  <c r="BA27" i="4" s="1"/>
  <c r="BB34" i="4"/>
  <c r="BB16" i="4"/>
  <c r="BB27" i="4" s="1"/>
  <c r="H28" i="4"/>
  <c r="DR28" i="4"/>
  <c r="CS34" i="4"/>
  <c r="CS16" i="4"/>
  <c r="CS27" i="4" s="1"/>
  <c r="X28" i="4"/>
  <c r="AV28" i="4"/>
  <c r="BC34" i="4"/>
  <c r="BC16" i="4"/>
  <c r="BC27" i="4" s="1"/>
  <c r="AU40" i="4"/>
  <c r="DO40" i="4"/>
  <c r="AZ40" i="4"/>
  <c r="DB40" i="4"/>
  <c r="AJ40" i="4"/>
  <c r="Y40" i="4"/>
  <c r="AX40" i="4"/>
  <c r="BK40" i="4"/>
  <c r="CK40" i="4"/>
  <c r="DJ40" i="4"/>
  <c r="AR28" i="4"/>
  <c r="L28" i="4"/>
  <c r="CD28" i="4"/>
  <c r="AJ28" i="4"/>
  <c r="AX34" i="4"/>
  <c r="AX16" i="4"/>
  <c r="BG28" i="4"/>
  <c r="CX34" i="4"/>
  <c r="CX16" i="4"/>
  <c r="CX27" i="4" s="1"/>
  <c r="D7" i="5"/>
  <c r="D12" i="5" s="1"/>
  <c r="BS40" i="4"/>
  <c r="V40" i="4"/>
  <c r="BX40" i="4"/>
  <c r="J40" i="4"/>
  <c r="BH40" i="4"/>
  <c r="AK40" i="4"/>
  <c r="BJ40" i="4"/>
  <c r="BW40" i="4"/>
  <c r="CW40" i="4"/>
  <c r="G40" i="4"/>
  <c r="AR34" i="4"/>
  <c r="AR16" i="4"/>
  <c r="AR27" i="4" s="1"/>
  <c r="AR29" i="4" s="1"/>
  <c r="AR36" i="4" s="1"/>
  <c r="AR38" i="4" s="1"/>
  <c r="AR42" i="4" s="1"/>
  <c r="CD34" i="4"/>
  <c r="CD16" i="4"/>
  <c r="CD27" i="4" s="1"/>
  <c r="CD29" i="4" s="1"/>
  <c r="CD36" i="4" s="1"/>
  <c r="CD38" i="4" s="1"/>
  <c r="CD42" i="4" s="1"/>
  <c r="CH34" i="4"/>
  <c r="CH16" i="4"/>
  <c r="AX28" i="4"/>
  <c r="BE34" i="4"/>
  <c r="BE16" i="4"/>
  <c r="BE27" i="4" s="1"/>
  <c r="DC34" i="4"/>
  <c r="DC16" i="4"/>
  <c r="DC27" i="4" s="1"/>
  <c r="AH28" i="4"/>
  <c r="AH29" i="4"/>
  <c r="AH36" i="4" s="1"/>
  <c r="AH38" i="4" s="1"/>
  <c r="AH42" i="4" s="1"/>
  <c r="L34" i="4"/>
  <c r="L16" i="4"/>
  <c r="L27" i="4" s="1"/>
  <c r="L29" i="4" s="1"/>
  <c r="L36" i="4" s="1"/>
  <c r="L38" i="4" s="1"/>
  <c r="L42" i="4" s="1"/>
  <c r="L44" i="4" s="1"/>
  <c r="DI34" i="4"/>
  <c r="DI16" i="4"/>
  <c r="DI27" i="4" s="1"/>
  <c r="DI29" i="4" s="1"/>
  <c r="DI36" i="4" s="1"/>
  <c r="DI38" i="4" s="1"/>
  <c r="DI42" i="4" s="1"/>
  <c r="BH34" i="4"/>
  <c r="BH16" i="4"/>
  <c r="BH27" i="4" s="1"/>
  <c r="AW34" i="4"/>
  <c r="AW16" i="4"/>
  <c r="AW27" i="4" s="1"/>
  <c r="BU34" i="4"/>
  <c r="BU16" i="4"/>
  <c r="BU27" i="4" s="1"/>
  <c r="CV40" i="4"/>
  <c r="AH40" i="4"/>
  <c r="AH44" i="4" s="1"/>
  <c r="CF40" i="4"/>
  <c r="AW40" i="4"/>
  <c r="BV40" i="4"/>
  <c r="CI40" i="4"/>
  <c r="DI40" i="4"/>
  <c r="DI44" i="4" s="1"/>
  <c r="S40" i="4"/>
  <c r="C7" i="5"/>
  <c r="C12" i="5" s="1"/>
  <c r="DK34" i="4"/>
  <c r="DK16" i="4"/>
  <c r="DK27" i="4" s="1"/>
  <c r="DK29" i="4" s="1"/>
  <c r="DK36" i="4" s="1"/>
  <c r="DK38" i="4" s="1"/>
  <c r="DK42" i="4" s="1"/>
  <c r="BY28" i="4"/>
  <c r="BY29" i="4"/>
  <c r="BY36" i="4" s="1"/>
  <c r="BY38" i="4" s="1"/>
  <c r="BY42" i="4" s="1"/>
  <c r="BY44" i="4" s="1"/>
  <c r="DH28" i="4"/>
  <c r="DH29" i="4" s="1"/>
  <c r="DH36" i="4" s="1"/>
  <c r="DH38" i="4" s="1"/>
  <c r="DH42" i="4" s="1"/>
  <c r="AD29" i="4"/>
  <c r="AD36" i="4" s="1"/>
  <c r="AD38" i="4" s="1"/>
  <c r="AD42" i="4" s="1"/>
  <c r="AD28" i="4"/>
  <c r="BF40" i="4"/>
  <c r="DH40" i="4"/>
  <c r="BI40" i="4"/>
  <c r="CH40" i="4"/>
  <c r="CU40" i="4"/>
  <c r="F40" i="4"/>
  <c r="AE40" i="4"/>
  <c r="BJ34" i="4"/>
  <c r="BJ16" i="4"/>
  <c r="BQ28" i="4"/>
  <c r="BQ29" i="4" s="1"/>
  <c r="BQ36" i="4" s="1"/>
  <c r="BQ38" i="4" s="1"/>
  <c r="BQ42" i="4" s="1"/>
  <c r="BY34" i="4"/>
  <c r="BY16" i="4"/>
  <c r="BY27" i="4" s="1"/>
  <c r="DL34" i="4"/>
  <c r="DL16" i="4"/>
  <c r="DL27" i="4" s="1"/>
  <c r="CK28" i="4"/>
  <c r="R28" i="4"/>
  <c r="BB28" i="4"/>
  <c r="BB29" i="4"/>
  <c r="BB36" i="4" s="1"/>
  <c r="BB38" i="4" s="1"/>
  <c r="BB42" i="4" s="1"/>
  <c r="X34" i="4"/>
  <c r="X16" i="4"/>
  <c r="X27" i="4" s="1"/>
  <c r="X29" i="4" s="1"/>
  <c r="X36" i="4" s="1"/>
  <c r="X38" i="4" s="1"/>
  <c r="X42" i="4" s="1"/>
  <c r="DG34" i="4"/>
  <c r="DG16" i="4"/>
  <c r="DG27" i="4" s="1"/>
  <c r="CQ40" i="4"/>
  <c r="DM34" i="4"/>
  <c r="DE28" i="4"/>
  <c r="AO28" i="4"/>
  <c r="U28" i="4"/>
  <c r="U29" i="4"/>
  <c r="U36" i="4" s="1"/>
  <c r="U38" i="4" s="1"/>
  <c r="U42" i="4" s="1"/>
  <c r="CO34" i="4"/>
  <c r="CO16" i="4"/>
  <c r="CO27" i="4" s="1"/>
  <c r="AK34" i="4"/>
  <c r="AK16" i="4"/>
  <c r="AK27" i="4" s="1"/>
  <c r="AY28" i="4"/>
  <c r="G3" i="5"/>
  <c r="P28" i="4"/>
  <c r="CT28" i="4"/>
  <c r="DN28" i="4"/>
  <c r="DN29" i="4"/>
  <c r="DN36" i="4" s="1"/>
  <c r="DN38" i="4" s="1"/>
  <c r="DN42" i="4" s="1"/>
  <c r="CA34" i="4"/>
  <c r="CA16" i="4"/>
  <c r="CA27" i="4" s="1"/>
  <c r="V28" i="4"/>
  <c r="BP34" i="4"/>
  <c r="BP16" i="4"/>
  <c r="BP27" i="4" s="1"/>
  <c r="AD34" i="4"/>
  <c r="AD16" i="4"/>
  <c r="AD27" i="4" s="1"/>
  <c r="DE34" i="4"/>
  <c r="DE16" i="4"/>
  <c r="DE27" i="4" s="1"/>
  <c r="DE29" i="4" s="1"/>
  <c r="DE36" i="4" s="1"/>
  <c r="DE38" i="4" s="1"/>
  <c r="DE42" i="4" s="1"/>
  <c r="BT34" i="4"/>
  <c r="BT16" i="4"/>
  <c r="BT27" i="4" s="1"/>
  <c r="BT29" i="4" s="1"/>
  <c r="BT36" i="4" s="1"/>
  <c r="BT38" i="4" s="1"/>
  <c r="BT42" i="4" s="1"/>
  <c r="AR40" i="4"/>
  <c r="CP40" i="4"/>
  <c r="AF40" i="4"/>
  <c r="CD40" i="4"/>
  <c r="P40" i="4"/>
  <c r="BU40" i="4"/>
  <c r="CT40" i="4"/>
  <c r="DG40" i="4"/>
  <c r="R40" i="4"/>
  <c r="AQ40" i="4"/>
  <c r="AM28" i="4"/>
  <c r="AM29" i="4"/>
  <c r="F3" i="5"/>
  <c r="CC34" i="4"/>
  <c r="CC16" i="4"/>
  <c r="CC27" i="4" s="1"/>
  <c r="BQ34" i="4"/>
  <c r="BQ16" i="4"/>
  <c r="BQ27" i="4" s="1"/>
  <c r="G34" i="4"/>
  <c r="G16" i="4"/>
  <c r="G27" i="4" s="1"/>
  <c r="G29" i="4" s="1"/>
  <c r="G36" i="4" s="1"/>
  <c r="G38" i="4" s="1"/>
  <c r="G42" i="4" s="1"/>
  <c r="BV28" i="4"/>
  <c r="F7" i="5"/>
  <c r="F12" i="5" s="1"/>
  <c r="BP29" i="4"/>
  <c r="BP36" i="4" s="1"/>
  <c r="BP38" i="4" s="1"/>
  <c r="BP42" i="4" s="1"/>
  <c r="BP28" i="4"/>
  <c r="CG34" i="4"/>
  <c r="CG16" i="4"/>
  <c r="CG27" i="4" s="1"/>
  <c r="BT28" i="4"/>
  <c r="BP40" i="4"/>
  <c r="DP40" i="4"/>
  <c r="BD40" i="4"/>
  <c r="DC40" i="4"/>
  <c r="AN40" i="4"/>
  <c r="CG40" i="4"/>
  <c r="DF40" i="4"/>
  <c r="E40" i="4"/>
  <c r="AD40" i="4"/>
  <c r="AS34" i="4"/>
  <c r="AM34" i="4"/>
  <c r="AM16" i="4"/>
  <c r="AM27" i="4" s="1"/>
  <c r="CC28" i="4"/>
  <c r="CC29" i="4" s="1"/>
  <c r="CC36" i="4" s="1"/>
  <c r="CC38" i="4" s="1"/>
  <c r="CC42" i="4" s="1"/>
  <c r="CC44" i="4" s="1"/>
  <c r="G28" i="4"/>
  <c r="CJ28" i="4"/>
  <c r="CJ29" i="4" s="1"/>
  <c r="CJ36" i="4" s="1"/>
  <c r="CJ38" i="4" s="1"/>
  <c r="CJ42" i="4" s="1"/>
  <c r="H34" i="4"/>
  <c r="H16" i="4"/>
  <c r="H27" i="4" s="1"/>
  <c r="H29" i="4" s="1"/>
  <c r="H36" i="4" s="1"/>
  <c r="H38" i="4" s="1"/>
  <c r="H42" i="4" s="1"/>
  <c r="DK28" i="4"/>
  <c r="DQ28" i="4"/>
  <c r="BV34" i="4"/>
  <c r="BV16" i="4"/>
  <c r="BA28" i="4"/>
  <c r="BA29" i="4"/>
  <c r="BA36" i="4" s="1"/>
  <c r="BA38" i="4" s="1"/>
  <c r="BA42" i="4" s="1"/>
  <c r="M34" i="4"/>
  <c r="M16" i="4"/>
  <c r="M27" i="4" s="1"/>
  <c r="H9" i="3"/>
  <c r="I9" i="3"/>
  <c r="Q34" i="4"/>
  <c r="Q16" i="4"/>
  <c r="Q27" i="4" s="1"/>
  <c r="AQ34" i="4"/>
  <c r="AQ16" i="4"/>
  <c r="AQ27" i="4" s="1"/>
  <c r="AQ29" i="4" s="1"/>
  <c r="AQ36" i="4" s="1"/>
  <c r="AQ38" i="4" s="1"/>
  <c r="AQ42" i="4" s="1"/>
  <c r="AF28" i="4"/>
  <c r="DP34" i="4"/>
  <c r="DP16" i="4"/>
  <c r="DP27" i="4" s="1"/>
  <c r="DP29" i="4" s="1"/>
  <c r="DP36" i="4" s="1"/>
  <c r="DP38" i="4" s="1"/>
  <c r="DP42" i="4" s="1"/>
  <c r="CY34" i="4"/>
  <c r="CY36" i="4" s="1"/>
  <c r="CY38" i="4" s="1"/>
  <c r="CY42" i="4" s="1"/>
  <c r="S28" i="4"/>
  <c r="DF34" i="4"/>
  <c r="DF16" i="4"/>
  <c r="AQ28" i="4"/>
  <c r="AY34" i="4"/>
  <c r="AY16" i="4"/>
  <c r="AY27" i="4" s="1"/>
  <c r="AY29" i="4" s="1"/>
  <c r="P34" i="4"/>
  <c r="P16" i="4"/>
  <c r="P27" i="4" s="1"/>
  <c r="P29" i="4" s="1"/>
  <c r="P36" i="4" s="1"/>
  <c r="P38" i="4" s="1"/>
  <c r="P42" i="4" s="1"/>
  <c r="I34" i="4"/>
  <c r="I16" i="4"/>
  <c r="I27" i="4" s="1"/>
  <c r="I29" i="4" s="1"/>
  <c r="I36" i="4" s="1"/>
  <c r="I38" i="4" s="1"/>
  <c r="I42" i="4" s="1"/>
  <c r="BR40" i="4"/>
  <c r="W28" i="4"/>
  <c r="BS28" i="4"/>
  <c r="AP34" i="4"/>
  <c r="AP16" i="4"/>
  <c r="AP27" i="4" s="1"/>
  <c r="AP29" i="4" s="1"/>
  <c r="AP36" i="4" s="1"/>
  <c r="AP38" i="4" s="1"/>
  <c r="AP42" i="4" s="1"/>
  <c r="W34" i="4"/>
  <c r="W16" i="4"/>
  <c r="W27" i="4" s="1"/>
  <c r="W29" i="4" s="1"/>
  <c r="W36" i="4" s="1"/>
  <c r="W38" i="4" s="1"/>
  <c r="W42" i="4" s="1"/>
  <c r="W44" i="4" s="1"/>
  <c r="CU34" i="4"/>
  <c r="CU16" i="4"/>
  <c r="CU27" i="4" s="1"/>
  <c r="CM34" i="4"/>
  <c r="CM16" i="4"/>
  <c r="CM27" i="4" s="1"/>
  <c r="AN34" i="4"/>
  <c r="AN16" i="4"/>
  <c r="AN27" i="4" s="1"/>
  <c r="AU28" i="4"/>
  <c r="DD34" i="4"/>
  <c r="DD16" i="4"/>
  <c r="DD27" i="4" s="1"/>
  <c r="DD29" i="4" s="1"/>
  <c r="DD36" i="4" s="1"/>
  <c r="DD38" i="4" s="1"/>
  <c r="DD42" i="4" s="1"/>
  <c r="CV28" i="4"/>
  <c r="AI34" i="4"/>
  <c r="AI16" i="4"/>
  <c r="AI27" i="4" s="1"/>
  <c r="AA28" i="4"/>
  <c r="E3" i="5"/>
  <c r="BI28" i="4"/>
  <c r="CG28" i="4"/>
  <c r="CG29" i="4" s="1"/>
  <c r="CG36" i="4" s="1"/>
  <c r="CG38" i="4" s="1"/>
  <c r="CG42" i="4" s="1"/>
  <c r="E34" i="4"/>
  <c r="E16" i="4"/>
  <c r="E27" i="4" s="1"/>
  <c r="AB34" i="4"/>
  <c r="AB16" i="4"/>
  <c r="AB27" i="4" s="1"/>
  <c r="AB29" i="4" s="1"/>
  <c r="AB36" i="4" s="1"/>
  <c r="AB38" i="4" s="1"/>
  <c r="AB42" i="4" s="1"/>
  <c r="AB44" i="4" s="1"/>
  <c r="CN40" i="4"/>
  <c r="X40" i="4"/>
  <c r="CB40" i="4"/>
  <c r="K40" i="4"/>
  <c r="BL40" i="4"/>
  <c r="CS40" i="4"/>
  <c r="DR40" i="4"/>
  <c r="Q40" i="4"/>
  <c r="AP40" i="4"/>
  <c r="BO40" i="4"/>
  <c r="DQ34" i="4"/>
  <c r="DQ16" i="4"/>
  <c r="DQ27" i="4" s="1"/>
  <c r="DQ29" i="4" s="1"/>
  <c r="DQ36" i="4" s="1"/>
  <c r="DQ38" i="4" s="1"/>
  <c r="DQ42" i="4" s="1"/>
  <c r="BL34" i="4"/>
  <c r="BL16" i="4"/>
  <c r="BL27" i="4" s="1"/>
  <c r="BL29" i="4" s="1"/>
  <c r="BL36" i="4" s="1"/>
  <c r="BL38" i="4" s="1"/>
  <c r="BL42" i="4" s="1"/>
  <c r="J28" i="4"/>
  <c r="CN28" i="4"/>
  <c r="BO34" i="4"/>
  <c r="BO16" i="4"/>
  <c r="BO27" i="4" s="1"/>
  <c r="CX28" i="4"/>
  <c r="CX29" i="4" s="1"/>
  <c r="CX36" i="4" s="1"/>
  <c r="CX38" i="4" s="1"/>
  <c r="CX42" i="4" s="1"/>
  <c r="CX44" i="4" s="1"/>
  <c r="CF34" i="4"/>
  <c r="CF16" i="4"/>
  <c r="CF27" i="4" s="1"/>
  <c r="CF29" i="4" s="1"/>
  <c r="CF36" i="4" s="1"/>
  <c r="CF38" i="4" s="1"/>
  <c r="CF42" i="4" s="1"/>
  <c r="DM28" i="4"/>
  <c r="DM29" i="4" s="1"/>
  <c r="DM36" i="4" s="1"/>
  <c r="DM38" i="4" s="1"/>
  <c r="DM42" i="4" s="1"/>
  <c r="AW28" i="4"/>
  <c r="AW29" i="4" s="1"/>
  <c r="AW36" i="4" s="1"/>
  <c r="AW38" i="4" s="1"/>
  <c r="AW42" i="4" s="1"/>
  <c r="CF28" i="4"/>
  <c r="L7" i="5"/>
  <c r="L12" i="5" s="1"/>
  <c r="CO29" i="4"/>
  <c r="CO28" i="4"/>
  <c r="BJ28" i="4"/>
  <c r="AI28" i="4"/>
  <c r="AI29" i="4" s="1"/>
  <c r="AI36" i="4" s="1"/>
  <c r="AI38" i="4" s="1"/>
  <c r="AI42" i="4" s="1"/>
  <c r="O34" i="4"/>
  <c r="O16" i="4"/>
  <c r="O27" i="4" s="1"/>
  <c r="O29" i="4" s="1"/>
  <c r="AP28" i="4"/>
  <c r="BK34" i="4"/>
  <c r="BK16" i="4"/>
  <c r="BK27" i="4" s="1"/>
  <c r="CM29" i="4"/>
  <c r="CM28" i="4"/>
  <c r="AN28" i="4"/>
  <c r="AN29" i="4" s="1"/>
  <c r="AN36" i="4" s="1"/>
  <c r="AN38" i="4" s="1"/>
  <c r="AN42" i="4" s="1"/>
  <c r="AT34" i="4"/>
  <c r="AT16" i="4"/>
  <c r="AT27" i="4" s="1"/>
  <c r="AT29" i="4" s="1"/>
  <c r="AT36" i="4" s="1"/>
  <c r="AT38" i="4" s="1"/>
  <c r="AT42" i="4" s="1"/>
  <c r="AC34" i="4"/>
  <c r="AC16" i="4"/>
  <c r="AC27" i="4" s="1"/>
  <c r="AC29" i="4" s="1"/>
  <c r="AC36" i="4" s="1"/>
  <c r="AC38" i="4" s="1"/>
  <c r="AC42" i="4" s="1"/>
  <c r="DN34" i="4"/>
  <c r="DN16" i="4"/>
  <c r="DN27" i="4" s="1"/>
  <c r="BW34" i="4"/>
  <c r="BW16" i="4"/>
  <c r="BW27" i="4" s="1"/>
  <c r="BI34" i="4"/>
  <c r="BI16" i="4"/>
  <c r="BI27" i="4" s="1"/>
  <c r="BI29" i="4" s="1"/>
  <c r="BI36" i="4" s="1"/>
  <c r="BI38" i="4" s="1"/>
  <c r="BI42" i="4" s="1"/>
  <c r="N28" i="4"/>
  <c r="N29" i="4"/>
  <c r="N36" i="4" s="1"/>
  <c r="N38" i="4" s="1"/>
  <c r="N42" i="4" s="1"/>
  <c r="E28" i="4"/>
  <c r="E29" i="4" s="1"/>
  <c r="E36" i="4" s="1"/>
  <c r="E38" i="4" s="1"/>
  <c r="E42" i="4" s="1"/>
  <c r="AB28" i="4"/>
  <c r="DN40" i="4"/>
  <c r="AV40" i="4"/>
  <c r="DA40" i="4"/>
  <c r="AI40" i="4"/>
  <c r="CJ40" i="4"/>
  <c r="DE40" i="4"/>
  <c r="C40" i="4"/>
  <c r="AC40" i="4"/>
  <c r="BB40" i="4"/>
  <c r="BB44" i="4" s="1"/>
  <c r="CA40" i="4"/>
  <c r="T34" i="4"/>
  <c r="T16" i="4"/>
  <c r="T27" i="4" s="1"/>
  <c r="BL28" i="4"/>
  <c r="J34" i="4"/>
  <c r="J16" i="4"/>
  <c r="J27" i="4" s="1"/>
  <c r="J29" i="4" s="1"/>
  <c r="J36" i="4" s="1"/>
  <c r="J38" i="4" s="1"/>
  <c r="J42" i="4" s="1"/>
  <c r="CI29" i="4"/>
  <c r="CI28" i="4"/>
  <c r="J3" i="5"/>
  <c r="CN34" i="4"/>
  <c r="CN16" i="4"/>
  <c r="CN27" i="4" s="1"/>
  <c r="CN29" i="4" s="1"/>
  <c r="CN36" i="4" s="1"/>
  <c r="CN38" i="4" s="1"/>
  <c r="CN42" i="4" s="1"/>
  <c r="BD29" i="4"/>
  <c r="BD36" i="4" s="1"/>
  <c r="BD38" i="4" s="1"/>
  <c r="BD42" i="4" s="1"/>
  <c r="BD28" i="4"/>
  <c r="DJ34" i="4"/>
  <c r="DJ16" i="4"/>
  <c r="DJ27" i="4" s="1"/>
  <c r="DJ29" i="4" s="1"/>
  <c r="AL44" i="4"/>
  <c r="AJ34" i="4"/>
  <c r="AJ16" i="4"/>
  <c r="AJ27" i="4" s="1"/>
  <c r="AJ29" i="4" s="1"/>
  <c r="AJ36" i="4" s="1"/>
  <c r="AJ38" i="4" s="1"/>
  <c r="AJ42" i="4" s="1"/>
  <c r="CQ28" i="4"/>
  <c r="K34" i="4"/>
  <c r="K16" i="4"/>
  <c r="K27" i="4" s="1"/>
  <c r="K29" i="4" s="1"/>
  <c r="K36" i="4" s="1"/>
  <c r="K38" i="4" s="1"/>
  <c r="K42" i="4" s="1"/>
  <c r="DF28" i="4"/>
  <c r="T40" i="4"/>
  <c r="BK29" i="4"/>
  <c r="BK28" i="4"/>
  <c r="H3" i="5"/>
  <c r="AE34" i="4"/>
  <c r="AE16" i="4"/>
  <c r="AE27" i="4" s="1"/>
  <c r="I7" i="5"/>
  <c r="I12" i="5" s="1"/>
  <c r="AC28" i="4"/>
  <c r="CT34" i="4"/>
  <c r="CT16" i="4"/>
  <c r="DO29" i="4"/>
  <c r="DO36" i="4" s="1"/>
  <c r="DO38" i="4" s="1"/>
  <c r="DO42" i="4" s="1"/>
  <c r="DO28" i="4"/>
  <c r="BW29" i="4"/>
  <c r="BW28" i="4"/>
  <c r="I3" i="5"/>
  <c r="E7" i="5"/>
  <c r="E12" i="5" s="1"/>
  <c r="AS28" i="4"/>
  <c r="AS29" i="4"/>
  <c r="AS36" i="4" s="1"/>
  <c r="AS38" i="4" s="1"/>
  <c r="AS42" i="4" s="1"/>
  <c r="BM34" i="4"/>
  <c r="BM16" i="4"/>
  <c r="BM27" i="4" s="1"/>
  <c r="BN34" i="4"/>
  <c r="BN16" i="4"/>
  <c r="BN27" i="4" s="1"/>
  <c r="BN29" i="4" s="1"/>
  <c r="BN36" i="4" s="1"/>
  <c r="BN38" i="4" s="1"/>
  <c r="BN42" i="4" s="1"/>
  <c r="H10" i="3"/>
  <c r="U40" i="4"/>
  <c r="BT40" i="4"/>
  <c r="I40" i="4"/>
  <c r="BG40" i="4"/>
  <c r="DM40" i="4"/>
  <c r="DQ40" i="4"/>
  <c r="O40" i="4"/>
  <c r="AO40" i="4"/>
  <c r="BN40" i="4"/>
  <c r="CM40" i="4"/>
  <c r="T28" i="4"/>
  <c r="T29" i="4" s="1"/>
  <c r="T36" i="4" s="1"/>
  <c r="T38" i="4" s="1"/>
  <c r="T42" i="4" s="1"/>
  <c r="Z28" i="4"/>
  <c r="DA34" i="4"/>
  <c r="DA16" i="4"/>
  <c r="DA27" i="4" s="1"/>
  <c r="DA29" i="4" s="1"/>
  <c r="DA36" i="4" s="1"/>
  <c r="DA38" i="4" s="1"/>
  <c r="DA42" i="4" s="1"/>
  <c r="CI34" i="4"/>
  <c r="CI16" i="4"/>
  <c r="CI27" i="4" s="1"/>
  <c r="C25" i="4"/>
  <c r="F28" i="4"/>
  <c r="CZ28" i="4"/>
  <c r="CZ29" i="4" s="1"/>
  <c r="CZ36" i="4" s="1"/>
  <c r="CZ38" i="4" s="1"/>
  <c r="CZ42" i="4" s="1"/>
  <c r="DR34" i="4"/>
  <c r="DR16" i="4"/>
  <c r="AV34" i="4"/>
  <c r="AV16" i="4"/>
  <c r="AV27" i="4" s="1"/>
  <c r="AV29" i="4" s="1"/>
  <c r="AV36" i="4" s="1"/>
  <c r="AV38" i="4" s="1"/>
  <c r="AV42" i="4" s="1"/>
  <c r="G7" i="5"/>
  <c r="G12" i="5" s="1"/>
  <c r="BU28" i="4"/>
  <c r="BU29" i="4" s="1"/>
  <c r="BU36" i="4" s="1"/>
  <c r="BU38" i="4" s="1"/>
  <c r="BU42" i="4" s="1"/>
  <c r="N34" i="4"/>
  <c r="DG28" i="4"/>
  <c r="DG29" i="4" s="1"/>
  <c r="L3" i="5"/>
  <c r="AU34" i="4"/>
  <c r="AU16" i="4"/>
  <c r="AU27" i="4" s="1"/>
  <c r="AU29" i="4" s="1"/>
  <c r="AU36" i="4" s="1"/>
  <c r="AU38" i="4" s="1"/>
  <c r="AU42" i="4" s="1"/>
  <c r="DC29" i="4"/>
  <c r="DC36" i="4" s="1"/>
  <c r="DC38" i="4" s="1"/>
  <c r="DC42" i="4" s="1"/>
  <c r="DC28" i="4"/>
  <c r="CA28" i="4"/>
  <c r="CA29" i="4" s="1"/>
  <c r="CA36" i="4" s="1"/>
  <c r="CA38" i="4" s="1"/>
  <c r="CA42" i="4" s="1"/>
  <c r="AA34" i="4"/>
  <c r="AA16" i="4"/>
  <c r="AA27" i="4" s="1"/>
  <c r="AA29" i="4" s="1"/>
  <c r="DB28" i="4"/>
  <c r="AT28" i="4"/>
  <c r="CU29" i="4"/>
  <c r="CU28" i="4"/>
  <c r="K3" i="5"/>
  <c r="BZ28" i="4"/>
  <c r="AZ34" i="4"/>
  <c r="AZ16" i="4"/>
  <c r="AZ27" i="4" s="1"/>
  <c r="BX28" i="4"/>
  <c r="AE28" i="4"/>
  <c r="AE29" i="4" s="1"/>
  <c r="AE36" i="4" s="1"/>
  <c r="AE38" i="4" s="1"/>
  <c r="AE42" i="4" s="1"/>
  <c r="CQ34" i="4"/>
  <c r="CQ16" i="4"/>
  <c r="CQ27" i="4" s="1"/>
  <c r="CQ29" i="4" s="1"/>
  <c r="CQ36" i="4" s="1"/>
  <c r="CQ38" i="4" s="1"/>
  <c r="CQ42" i="4" s="1"/>
  <c r="CW34" i="4"/>
  <c r="CW16" i="4"/>
  <c r="CW27" i="4" s="1"/>
  <c r="CW29" i="4" s="1"/>
  <c r="CW36" i="4" s="1"/>
  <c r="CW38" i="4" s="1"/>
  <c r="CW42" i="4" s="1"/>
  <c r="Y28" i="4"/>
  <c r="CV34" i="4"/>
  <c r="CV16" i="4"/>
  <c r="CV27" i="4" s="1"/>
  <c r="CV29" i="4" s="1"/>
  <c r="CV36" i="4" s="1"/>
  <c r="CV38" i="4" s="1"/>
  <c r="CV42" i="4" s="1"/>
  <c r="AG34" i="4"/>
  <c r="AG16" i="4"/>
  <c r="AG27" i="4" s="1"/>
  <c r="DD28" i="4"/>
  <c r="BF34" i="4"/>
  <c r="BF16" i="4"/>
  <c r="BF27" i="4" s="1"/>
  <c r="BF29" i="4" s="1"/>
  <c r="BF36" i="4" s="1"/>
  <c r="BF38" i="4" s="1"/>
  <c r="BF42" i="4" s="1"/>
  <c r="BR34" i="4"/>
  <c r="BR16" i="4"/>
  <c r="BR27" i="4" s="1"/>
  <c r="BR29" i="4" s="1"/>
  <c r="BR36" i="4" s="1"/>
  <c r="BR38" i="4" s="1"/>
  <c r="BR42" i="4" s="1"/>
  <c r="CP28" i="4"/>
  <c r="BM28" i="4"/>
  <c r="BM29" i="4"/>
  <c r="BM36" i="4" s="1"/>
  <c r="BM38" i="4" s="1"/>
  <c r="BM42" i="4" s="1"/>
  <c r="BN28" i="4"/>
  <c r="I10" i="3"/>
  <c r="AS40" i="4"/>
  <c r="AS44" i="4" s="1"/>
  <c r="CR40" i="4"/>
  <c r="AG40" i="4"/>
  <c r="AG44" i="4" s="1"/>
  <c r="CE40" i="4"/>
  <c r="CZ40" i="4"/>
  <c r="N40" i="4"/>
  <c r="AA40" i="4"/>
  <c r="BA40" i="4"/>
  <c r="BZ40" i="4"/>
  <c r="CY40" i="4"/>
  <c r="CB34" i="4"/>
  <c r="CB16" i="4"/>
  <c r="CB27" i="4" s="1"/>
  <c r="CB29" i="4" s="1"/>
  <c r="CB36" i="4" s="1"/>
  <c r="CB38" i="4" s="1"/>
  <c r="CB42" i="4" s="1"/>
  <c r="Z34" i="4"/>
  <c r="Z16" i="4"/>
  <c r="CE34" i="4"/>
  <c r="CE16" i="4"/>
  <c r="CE27" i="4" s="1"/>
  <c r="D34" i="4"/>
  <c r="D16" i="4"/>
  <c r="D27" i="4" s="1"/>
  <c r="C34" i="4"/>
  <c r="C16" i="4"/>
  <c r="C27" i="4" s="1"/>
  <c r="BG34" i="4"/>
  <c r="BG16" i="4"/>
  <c r="BG27" i="4" s="1"/>
  <c r="BG29" i="4" s="1"/>
  <c r="BG36" i="4" s="1"/>
  <c r="BG38" i="4" s="1"/>
  <c r="BG42" i="4" s="1"/>
  <c r="BE28" i="4"/>
  <c r="BE29" i="4" s="1"/>
  <c r="BE36" i="4" s="1"/>
  <c r="BE38" i="4" s="1"/>
  <c r="BE42" i="4" s="1"/>
  <c r="BO29" i="4"/>
  <c r="BO36" i="4" s="1"/>
  <c r="BO38" i="4" s="1"/>
  <c r="BO42" i="4" s="1"/>
  <c r="BO28" i="4"/>
  <c r="CL34" i="4"/>
  <c r="CL16" i="4"/>
  <c r="CL27" i="4" s="1"/>
  <c r="CL29" i="4" s="1"/>
  <c r="CL36" i="4" s="1"/>
  <c r="CL38" i="4" s="1"/>
  <c r="CL42" i="4" s="1"/>
  <c r="AF34" i="4"/>
  <c r="AF16" i="4"/>
  <c r="AF27" i="4" s="1"/>
  <c r="AF29" i="4" s="1"/>
  <c r="AF36" i="4" s="1"/>
  <c r="AF38" i="4" s="1"/>
  <c r="AF42" i="4" s="1"/>
  <c r="K28" i="4"/>
  <c r="BC28" i="4"/>
  <c r="BC29" i="4"/>
  <c r="BC36" i="4" s="1"/>
  <c r="BC38" i="4" s="1"/>
  <c r="BC42" i="4" s="1"/>
  <c r="BC44" i="4" s="1"/>
  <c r="BH28" i="4"/>
  <c r="BH29" i="4" s="1"/>
  <c r="BH36" i="4" s="1"/>
  <c r="BH38" i="4" s="1"/>
  <c r="BH42" i="4" s="1"/>
  <c r="S34" i="4"/>
  <c r="S16" i="4"/>
  <c r="S27" i="4" s="1"/>
  <c r="S29" i="4" s="1"/>
  <c r="S36" i="4" s="1"/>
  <c r="S38" i="4" s="1"/>
  <c r="S42" i="4" s="1"/>
  <c r="CZ34" i="4"/>
  <c r="CZ16" i="4"/>
  <c r="CZ27" i="4" s="1"/>
  <c r="I28" i="4"/>
  <c r="M28" i="4"/>
  <c r="M29" i="4"/>
  <c r="AT40" i="4"/>
  <c r="Q28" i="4"/>
  <c r="Q29" i="4" s="1"/>
  <c r="Q36" i="4" s="1"/>
  <c r="Q38" i="4" s="1"/>
  <c r="Q42" i="4" s="1"/>
  <c r="V34" i="4"/>
  <c r="V16" i="4"/>
  <c r="V27" i="4" s="1"/>
  <c r="V29" i="4" s="1"/>
  <c r="V36" i="4" s="1"/>
  <c r="V38" i="4" s="1"/>
  <c r="V42" i="4" s="1"/>
  <c r="H40" i="4"/>
  <c r="BS34" i="4"/>
  <c r="BS16" i="4"/>
  <c r="BS27" i="4" s="1"/>
  <c r="BS29" i="4" s="1"/>
  <c r="BS36" i="4" s="1"/>
  <c r="BS38" i="4" s="1"/>
  <c r="BS42" i="4" s="1"/>
  <c r="AO34" i="4"/>
  <c r="AO16" i="4"/>
  <c r="AO27" i="4" s="1"/>
  <c r="AO29" i="4" s="1"/>
  <c r="AO36" i="4" s="1"/>
  <c r="AO38" i="4" s="1"/>
  <c r="AO42" i="4" s="1"/>
  <c r="AK28" i="4"/>
  <c r="AK29" i="4" s="1"/>
  <c r="AK36" i="4" s="1"/>
  <c r="AK38" i="4" s="1"/>
  <c r="AK42" i="4" s="1"/>
  <c r="O28" i="4"/>
  <c r="D3" i="5"/>
  <c r="BZ34" i="4"/>
  <c r="BZ16" i="4"/>
  <c r="BZ27" i="4" s="1"/>
  <c r="BZ29" i="4" s="1"/>
  <c r="BZ36" i="4" s="1"/>
  <c r="BZ38" i="4" s="1"/>
  <c r="BZ42" i="4" s="1"/>
  <c r="BX34" i="4"/>
  <c r="BX16" i="4"/>
  <c r="BX27" i="4" s="1"/>
  <c r="BX29" i="4" s="1"/>
  <c r="BX36" i="4" s="1"/>
  <c r="BX38" i="4" s="1"/>
  <c r="BX42" i="4" s="1"/>
  <c r="CE28" i="4"/>
  <c r="CE29" i="4"/>
  <c r="CJ34" i="4"/>
  <c r="CJ16" i="4"/>
  <c r="CJ27" i="4" s="1"/>
  <c r="AZ28" i="4"/>
  <c r="AZ29" i="4" s="1"/>
  <c r="AZ36" i="4" s="1"/>
  <c r="AZ38" i="4" s="1"/>
  <c r="AZ42" i="4" s="1"/>
  <c r="CK34" i="4"/>
  <c r="CK16" i="4"/>
  <c r="CK27" i="4" s="1"/>
  <c r="CK29" i="4" s="1"/>
  <c r="CK36" i="4" s="1"/>
  <c r="CK38" i="4" s="1"/>
  <c r="CK42" i="4" s="1"/>
  <c r="CR34" i="4"/>
  <c r="CR16" i="4"/>
  <c r="CR27" i="4" s="1"/>
  <c r="CR29" i="4" s="1"/>
  <c r="CR36" i="4" s="1"/>
  <c r="CR38" i="4" s="1"/>
  <c r="CR42" i="4" s="1"/>
  <c r="R34" i="4"/>
  <c r="R16" i="4"/>
  <c r="R27" i="4" s="1"/>
  <c r="R29" i="4" s="1"/>
  <c r="R36" i="4" s="1"/>
  <c r="R38" i="4" s="1"/>
  <c r="R42" i="4" s="1"/>
  <c r="Y34" i="4"/>
  <c r="Y16" i="4"/>
  <c r="Y27" i="4" s="1"/>
  <c r="Y29" i="4" s="1"/>
  <c r="Y36" i="4" s="1"/>
  <c r="Y38" i="4" s="1"/>
  <c r="Y42" i="4" s="1"/>
  <c r="DB34" i="4"/>
  <c r="DB16" i="4"/>
  <c r="DB27" i="4" s="1"/>
  <c r="DB29" i="4" s="1"/>
  <c r="DB36" i="4" s="1"/>
  <c r="DB38" i="4" s="1"/>
  <c r="DB42" i="4" s="1"/>
  <c r="AG29" i="4"/>
  <c r="AG36" i="4" s="1"/>
  <c r="AG38" i="4" s="1"/>
  <c r="AG42" i="4" s="1"/>
  <c r="AG28" i="4"/>
  <c r="CS28" i="4"/>
  <c r="CS29" i="4" s="1"/>
  <c r="CS36" i="4" s="1"/>
  <c r="CS38" i="4" s="1"/>
  <c r="CS42" i="4" s="1"/>
  <c r="BF28" i="4"/>
  <c r="DO34" i="4"/>
  <c r="DO16" i="4"/>
  <c r="DO27" i="4" s="1"/>
  <c r="BR28" i="4"/>
  <c r="CP34" i="4"/>
  <c r="CP16" i="4"/>
  <c r="CP27" i="4" s="1"/>
  <c r="CP29" i="4" s="1"/>
  <c r="CP36" i="4" s="1"/>
  <c r="CP38" i="4" s="1"/>
  <c r="CP42" i="4" s="1"/>
  <c r="AH34" i="4"/>
  <c r="AH16" i="4"/>
  <c r="AH27" i="4" s="1"/>
  <c r="F10" i="3"/>
  <c r="B7" i="1" s="1"/>
  <c r="BQ40" i="4"/>
  <c r="D40" i="4"/>
  <c r="D44" i="4" s="1"/>
  <c r="BE40" i="4"/>
  <c r="DD40" i="4"/>
  <c r="DL40" i="4"/>
  <c r="Z40" i="4"/>
  <c r="AM40" i="4"/>
  <c r="BM40" i="4"/>
  <c r="BM44" i="4" s="1"/>
  <c r="CL40" i="4"/>
  <c r="DK40" i="4"/>
  <c r="CB28" i="4"/>
  <c r="F34" i="4"/>
  <c r="F16" i="4"/>
  <c r="F27" i="4" s="1"/>
  <c r="F29" i="4" s="1"/>
  <c r="F36" i="4" s="1"/>
  <c r="F38" i="4" s="1"/>
  <c r="F42" i="4" s="1"/>
  <c r="DL29" i="4"/>
  <c r="DL36" i="4" s="1"/>
  <c r="DL38" i="4" s="1"/>
  <c r="DL42" i="4" s="1"/>
  <c r="DL28" i="4"/>
  <c r="D29" i="4"/>
  <c r="D36" i="4" s="1"/>
  <c r="D38" i="4" s="1"/>
  <c r="D42" i="4" s="1"/>
  <c r="D28" i="4"/>
  <c r="AA36" i="4" l="1"/>
  <c r="E4" i="5"/>
  <c r="DG36" i="4"/>
  <c r="O36" i="4"/>
  <c r="D4" i="5"/>
  <c r="AY36" i="4"/>
  <c r="G4" i="5"/>
  <c r="DB44" i="4"/>
  <c r="AQ44" i="4"/>
  <c r="G11" i="5"/>
  <c r="BJ27" i="4"/>
  <c r="BJ29" i="4" s="1"/>
  <c r="BJ36" i="4" s="1"/>
  <c r="BJ38" i="4" s="1"/>
  <c r="BJ42" i="4" s="1"/>
  <c r="BJ44" i="4" s="1"/>
  <c r="DO44" i="4"/>
  <c r="BN44" i="4"/>
  <c r="B57" i="4"/>
  <c r="H11" i="5"/>
  <c r="BV27" i="4"/>
  <c r="BV29" i="4" s="1"/>
  <c r="BV36" i="4" s="1"/>
  <c r="BV38" i="4" s="1"/>
  <c r="BV42" i="4" s="1"/>
  <c r="BV44" i="4" s="1"/>
  <c r="DC44" i="4"/>
  <c r="R44" i="4"/>
  <c r="CV44" i="4"/>
  <c r="AU44" i="4"/>
  <c r="CA44" i="4"/>
  <c r="CM44" i="4"/>
  <c r="AT44" i="4"/>
  <c r="AO44" i="4"/>
  <c r="DE44" i="4"/>
  <c r="BO44" i="4"/>
  <c r="BD44" i="4"/>
  <c r="AE44" i="4"/>
  <c r="G44" i="4"/>
  <c r="CT44" i="4"/>
  <c r="F44" i="4"/>
  <c r="CW44" i="4"/>
  <c r="BE44" i="4"/>
  <c r="CU36" i="4"/>
  <c r="AM36" i="4"/>
  <c r="F4" i="5"/>
  <c r="V44" i="4"/>
  <c r="CR44" i="4"/>
  <c r="CN44" i="4"/>
  <c r="AZ44" i="4"/>
  <c r="BQ44" i="4"/>
  <c r="DK44" i="4"/>
  <c r="M36" i="4"/>
  <c r="M38" i="4" s="1"/>
  <c r="M42" i="4" s="1"/>
  <c r="M44" i="4" s="1"/>
  <c r="AP44" i="4"/>
  <c r="BZ44" i="4"/>
  <c r="DQ44" i="4"/>
  <c r="AI44" i="4"/>
  <c r="Q44" i="4"/>
  <c r="BP44" i="4"/>
  <c r="BU44" i="4"/>
  <c r="DJ44" i="4"/>
  <c r="B55" i="4"/>
  <c r="B14" i="1"/>
  <c r="X44" i="4"/>
  <c r="D11" i="5"/>
  <c r="Z27" i="4"/>
  <c r="Z29" i="4" s="1"/>
  <c r="Z36" i="4" s="1"/>
  <c r="Z38" i="4" s="1"/>
  <c r="Z42" i="4" s="1"/>
  <c r="CY44" i="4"/>
  <c r="C28" i="4"/>
  <c r="C29" i="4" s="1"/>
  <c r="C3" i="5"/>
  <c r="CO36" i="4"/>
  <c r="CO38" i="4" s="1"/>
  <c r="CO42" i="4" s="1"/>
  <c r="CO44" i="4" s="1"/>
  <c r="BA44" i="4"/>
  <c r="DM44" i="4"/>
  <c r="DA44" i="4"/>
  <c r="P44" i="4"/>
  <c r="CK44" i="4"/>
  <c r="AW44" i="4"/>
  <c r="J11" i="5"/>
  <c r="CT27" i="4"/>
  <c r="CT29" i="4" s="1"/>
  <c r="CT36" i="4" s="1"/>
  <c r="CT38" i="4" s="1"/>
  <c r="CT42" i="4" s="1"/>
  <c r="CG44" i="4"/>
  <c r="CF44" i="4"/>
  <c r="AN44" i="4"/>
  <c r="CJ44" i="4"/>
  <c r="DP44" i="4"/>
  <c r="CE36" i="4"/>
  <c r="CE38" i="4" s="1"/>
  <c r="CE42" i="4" s="1"/>
  <c r="BG44" i="4"/>
  <c r="AV44" i="4"/>
  <c r="CS44" i="4"/>
  <c r="K11" i="5"/>
  <c r="DF27" i="4"/>
  <c r="DF29" i="4" s="1"/>
  <c r="DF36" i="4" s="1"/>
  <c r="DF38" i="4" s="1"/>
  <c r="DF42" i="4" s="1"/>
  <c r="DF44" i="4" s="1"/>
  <c r="CD44" i="4"/>
  <c r="CQ44" i="4"/>
  <c r="BI44" i="4"/>
  <c r="S44" i="4"/>
  <c r="AK44" i="4"/>
  <c r="F11" i="5"/>
  <c r="AX27" i="4"/>
  <c r="AX29" i="4" s="1"/>
  <c r="AX36" i="4" s="1"/>
  <c r="AX38" i="4" s="1"/>
  <c r="AX42" i="4" s="1"/>
  <c r="BS44" i="4"/>
  <c r="AC44" i="4"/>
  <c r="CI36" i="4"/>
  <c r="J4" i="5"/>
  <c r="CM36" i="4"/>
  <c r="CM38" i="4" s="1"/>
  <c r="CM42" i="4" s="1"/>
  <c r="CL44" i="4"/>
  <c r="Z44" i="4"/>
  <c r="N44" i="4"/>
  <c r="I44" i="4"/>
  <c r="DJ36" i="4"/>
  <c r="DJ38" i="4" s="1"/>
  <c r="DJ42" i="4" s="1"/>
  <c r="DN44" i="4"/>
  <c r="BL44" i="4"/>
  <c r="AF44" i="4"/>
  <c r="DH44" i="4"/>
  <c r="BH44" i="4"/>
  <c r="AX44" i="4"/>
  <c r="AD44" i="4"/>
  <c r="CP44" i="4"/>
  <c r="BF44" i="4"/>
  <c r="I11" i="5"/>
  <c r="CH27" i="4"/>
  <c r="CH29" i="4" s="1"/>
  <c r="CH36" i="4" s="1"/>
  <c r="CH38" i="4" s="1"/>
  <c r="CH42" i="4" s="1"/>
  <c r="CH44" i="4" s="1"/>
  <c r="J44" i="4"/>
  <c r="Y44" i="4"/>
  <c r="DL44" i="4"/>
  <c r="CZ44" i="4"/>
  <c r="L11" i="5"/>
  <c r="DR27" i="4"/>
  <c r="DR29" i="4" s="1"/>
  <c r="DR36" i="4" s="1"/>
  <c r="DR38" i="4" s="1"/>
  <c r="DR42" i="4" s="1"/>
  <c r="BT44" i="4"/>
  <c r="BW36" i="4"/>
  <c r="I4" i="5"/>
  <c r="BK36" i="4"/>
  <c r="H4" i="5"/>
  <c r="K44" i="4"/>
  <c r="DD44" i="4"/>
  <c r="H44" i="4"/>
  <c r="CE44" i="4"/>
  <c r="U44" i="4"/>
  <c r="T44" i="4"/>
  <c r="CB44" i="4"/>
  <c r="BR44" i="4"/>
  <c r="E44" i="4"/>
  <c r="AR44" i="4"/>
  <c r="BX44" i="4"/>
  <c r="AJ44" i="4"/>
  <c r="C36" i="4" l="1"/>
  <c r="C4" i="5"/>
  <c r="DR43" i="4"/>
  <c r="DR44" i="4" s="1"/>
  <c r="B15" i="1"/>
  <c r="AY38" i="4"/>
  <c r="G6" i="5"/>
  <c r="CI38" i="4"/>
  <c r="J6" i="5"/>
  <c r="BW38" i="4"/>
  <c r="I6" i="5"/>
  <c r="O38" i="4"/>
  <c r="D6" i="5"/>
  <c r="L4" i="5"/>
  <c r="AM38" i="4"/>
  <c r="F6" i="5"/>
  <c r="DG38" i="4"/>
  <c r="L6" i="5"/>
  <c r="K4" i="5"/>
  <c r="BK38" i="4"/>
  <c r="H6" i="5"/>
  <c r="CU38" i="4"/>
  <c r="K6" i="5"/>
  <c r="AA38" i="4"/>
  <c r="E6" i="5"/>
  <c r="AA42" i="4" l="1"/>
  <c r="AA44" i="4" s="1"/>
  <c r="E8" i="5"/>
  <c r="BW42" i="4"/>
  <c r="BW44" i="4" s="1"/>
  <c r="I8" i="5"/>
  <c r="AY42" i="4"/>
  <c r="AY44" i="4" s="1"/>
  <c r="G8" i="5"/>
  <c r="DG42" i="4"/>
  <c r="DG44" i="4" s="1"/>
  <c r="L8" i="5"/>
  <c r="O42" i="4"/>
  <c r="O44" i="4" s="1"/>
  <c r="D8" i="5"/>
  <c r="AM42" i="4"/>
  <c r="AM44" i="4" s="1"/>
  <c r="F8" i="5"/>
  <c r="CI42" i="4"/>
  <c r="CI44" i="4" s="1"/>
  <c r="J8" i="5"/>
  <c r="CU42" i="4"/>
  <c r="CU44" i="4" s="1"/>
  <c r="K8" i="5"/>
  <c r="BK42" i="4"/>
  <c r="BK44" i="4" s="1"/>
  <c r="H8" i="5"/>
  <c r="C38" i="4"/>
  <c r="C6" i="5"/>
  <c r="B20" i="1" l="1"/>
  <c r="B18" i="1"/>
  <c r="C42" i="4"/>
  <c r="C8" i="5"/>
  <c r="C9" i="5" s="1"/>
  <c r="D9" i="5" s="1"/>
  <c r="E9" i="5" s="1"/>
  <c r="F9" i="5" s="1"/>
  <c r="G9" i="5" s="1"/>
  <c r="H9" i="5" s="1"/>
  <c r="I9" i="5" s="1"/>
  <c r="J9" i="5" s="1"/>
  <c r="K9" i="5" s="1"/>
  <c r="L9" i="5" s="1"/>
  <c r="C44" i="4" l="1"/>
  <c r="B56" i="4" s="1"/>
  <c r="B11" i="1" s="1"/>
  <c r="B58" i="4"/>
  <c r="B59" i="4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100-00001A000000}">
      <text>
        <r>
          <rPr>
            <sz val="10"/>
            <rFont val="Arial"/>
            <family val="2"/>
          </rPr>
          <t>Brennan Dees:
Important to note that we believe our debt rate will decrease as our models are proven effective.</t>
        </r>
      </text>
    </comment>
    <comment ref="B13" authorId="0" shapeId="0" xr:uid="{00000000-0006-0000-0100-000001000000}">
      <text>
        <r>
          <rPr>
            <sz val="10"/>
            <rFont val="Arial"/>
            <family val="2"/>
          </rPr>
          <t>AI-assisted. Value-add basis: older/distressed Class B-C in soft DFW submarkets trades well below the ~$143/SF metro average. $95/SF reflects the acquisition-discipline path.</t>
        </r>
      </text>
    </comment>
    <comment ref="B14" authorId="0" shapeId="0" xr:uid="{00000000-0006-0000-0100-000002000000}">
      <text>
        <r>
          <rPr>
            <sz val="10"/>
            <rFont val="Arial"/>
            <family val="2"/>
          </rPr>
          <t>AI-assisted. Porta-King modular walls + electrical/HVAC/lighting/demising.</t>
        </r>
      </text>
    </comment>
    <comment ref="B15" authorId="0" shapeId="0" xr:uid="{00000000-0006-0000-0100-000003000000}">
      <text>
        <r>
          <rPr>
            <sz val="10"/>
            <color rgb="FF000000"/>
            <rFont val="Arial"/>
            <family val="2"/>
          </rPr>
          <t xml:space="preserve">AI-assisted. Closing, due diligence, legal, permitting. 2-4% benchmark.
</t>
        </r>
      </text>
    </comment>
    <comment ref="B18" authorId="0" shapeId="0" xr:uid="{00000000-0006-0000-0100-000004000000}">
      <text>
        <r>
          <rPr>
            <sz val="10"/>
            <color rgb="FF000000"/>
            <rFont val="Arial"/>
            <family val="2"/>
          </rPr>
          <t>AI-assisted. Conservative value-add leverage.</t>
        </r>
      </text>
    </comment>
    <comment ref="B19" authorId="0" shapeId="0" xr:uid="{00000000-0006-0000-0100-000005000000}">
      <text>
        <r>
          <rPr>
            <sz val="10"/>
            <color rgb="FF000000"/>
            <rFont val="Arial"/>
            <family val="2"/>
          </rPr>
          <t>Team input / placeholder split.</t>
        </r>
      </text>
    </comment>
    <comment ref="B20" authorId="0" shapeId="0" xr:uid="{00000000-0006-0000-0100-000006000000}">
      <text>
        <r>
          <rPr>
            <sz val="10"/>
            <rFont val="Arial"/>
            <family val="2"/>
          </rPr>
          <t>Team input / placeholder split.</t>
        </r>
      </text>
    </comment>
    <comment ref="B23" authorId="0" shapeId="0" xr:uid="{00000000-0006-0000-0100-000007000000}">
      <text>
        <r>
          <rPr>
            <sz val="10"/>
            <rFont val="Arial"/>
            <family val="2"/>
          </rPr>
          <t>AI-assisted. JLL Q1 2026 DFW small-bay (&lt;100k SF) = $9.95/SF; smaller bays rent higher. $10.25 blended reflects subdivision premium.</t>
        </r>
      </text>
    </comment>
    <comment ref="B24" authorId="0" shapeId="0" xr:uid="{00000000-0006-0000-0100-000008000000}">
      <text>
        <r>
          <rPr>
            <sz val="10"/>
            <color rgb="FF000000"/>
            <rFont val="Arial"/>
            <family val="2"/>
          </rPr>
          <t xml:space="preserve">AI-assisted. Conservative: JLL DFW YoY +3.5% (Q1 2026) vs 9.5% 5-yr avg. Faster growth treated as upside, not base. </t>
        </r>
      </text>
    </comment>
    <comment ref="B25" authorId="0" shapeId="0" xr:uid="{00000000-0006-0000-0100-000009000000}">
      <text>
        <r>
          <rPr>
            <sz val="10"/>
            <rFont val="Arial"/>
            <family val="2"/>
          </rPr>
          <t xml:space="preserve">AI-assisted. Team target; DFW small-bay market ~89% occupied (11% vacancy). </t>
        </r>
      </text>
    </comment>
    <comment ref="B26" authorId="0" shapeId="0" xr:uid="{00000000-0006-0000-0100-00000A000000}">
      <text>
        <r>
          <rPr>
            <sz val="10"/>
            <rFont val="Arial"/>
            <family val="2"/>
          </rPr>
          <t>AI-assisted. Linear ramp to stabilized over 36 months. KEY RISK given soft small-bay absorption.</t>
        </r>
      </text>
    </comment>
    <comment ref="B27" authorId="0" shapeId="0" xr:uid="{00000000-0006-0000-0100-00000B000000}">
      <text>
        <r>
          <rPr>
            <sz val="10"/>
            <rFont val="Arial"/>
            <family val="2"/>
          </rPr>
          <t>Team strategy input (TCU/SMU pipeline).</t>
        </r>
      </text>
    </comment>
    <comment ref="B28" authorId="0" shapeId="0" xr:uid="{00000000-0006-0000-0100-00000C000000}">
      <text>
        <r>
          <rPr>
            <sz val="10"/>
            <rFont val="Arial"/>
            <family val="2"/>
          </rPr>
          <t>Team strategy input.</t>
        </r>
      </text>
    </comment>
    <comment ref="B29" authorId="0" shapeId="0" xr:uid="{00000000-0006-0000-0100-00000D000000}">
      <text>
        <r>
          <rPr>
            <sz val="10"/>
            <rFont val="Arial"/>
            <family val="2"/>
          </rPr>
          <t>AI-assisted. Amenity/shared-equipment fee benchmark.</t>
        </r>
      </text>
    </comment>
    <comment ref="B32" authorId="0" shapeId="0" xr:uid="{00000000-0006-0000-0100-00000E000000}">
      <text>
        <r>
          <rPr>
            <sz val="10"/>
            <rFont val="Arial"/>
            <family val="2"/>
          </rPr>
          <t>AI-assisted. DFW industrial opex benchmark.</t>
        </r>
      </text>
    </comment>
    <comment ref="B33" authorId="0" shapeId="0" xr:uid="{00000000-0006-0000-0100-00000F000000}">
      <text>
        <r>
          <rPr>
            <sz val="10"/>
            <rFont val="Arial"/>
            <family val="2"/>
          </rPr>
          <t xml:space="preserve">AI-assisted. NNN reimburses most opex on occupied space. </t>
        </r>
      </text>
    </comment>
    <comment ref="B34" authorId="0" shapeId="0" xr:uid="{00000000-0006-0000-0100-000010000000}">
      <text>
        <r>
          <rPr>
            <sz val="10"/>
            <rFont val="Arial"/>
            <family val="2"/>
          </rPr>
          <t>AI-assisted. 2-4% of EGI.</t>
        </r>
      </text>
    </comment>
    <comment ref="B35" authorId="0" shapeId="0" xr:uid="{00000000-0006-0000-0100-000011000000}">
      <text>
        <r>
          <rPr>
            <sz val="10"/>
            <rFont val="Arial"/>
            <family val="2"/>
          </rPr>
          <t>AI-assisted. Founders + front desk + entity overhead.</t>
        </r>
      </text>
    </comment>
    <comment ref="B36" authorId="0" shapeId="0" xr:uid="{00000000-0006-0000-0100-000012000000}">
      <text>
        <r>
          <rPr>
            <sz val="10"/>
            <rFont val="Arial"/>
            <family val="2"/>
          </rPr>
          <t>AI-assisted. Incremental staff/admin per asset.</t>
        </r>
      </text>
    </comment>
    <comment ref="B37" authorId="0" shapeId="0" xr:uid="{00000000-0006-0000-0100-000013000000}">
      <text>
        <r>
          <rPr>
            <sz val="10"/>
            <rFont val="Arial"/>
            <family val="2"/>
          </rPr>
          <t>Team input.</t>
        </r>
      </text>
    </comment>
    <comment ref="B38" authorId="0" shapeId="0" xr:uid="{00000000-0006-0000-0100-000014000000}">
      <text>
        <r>
          <rPr>
            <sz val="10"/>
            <rFont val="Arial"/>
            <family val="2"/>
          </rPr>
          <t>Team input.</t>
        </r>
      </text>
    </comment>
    <comment ref="B39" authorId="0" shapeId="0" xr:uid="{00000000-0006-0000-0100-000015000000}">
      <text>
        <r>
          <rPr>
            <sz val="10"/>
            <rFont val="Arial"/>
            <family val="2"/>
          </rPr>
          <t>AI-assisted. Standard brokerage commission.</t>
        </r>
      </text>
    </comment>
    <comment ref="B40" authorId="0" shapeId="0" xr:uid="{00000000-0006-0000-0100-000016000000}">
      <text>
        <r>
          <rPr>
            <sz val="10"/>
            <rFont val="Arial"/>
            <family val="2"/>
          </rPr>
          <t>AI-assisted. Replacement reserve benchmark.</t>
        </r>
      </text>
    </comment>
    <comment ref="B43" authorId="0" shapeId="0" xr:uid="{00000000-0006-0000-0100-000017000000}">
      <text>
        <r>
          <rPr>
            <sz val="10"/>
            <rFont val="Arial"/>
            <family val="2"/>
          </rPr>
          <t>AI-assisted. DFW ~6.2-6.4% (Connect CRE); Arlington ~7.4% (LoopNet). 6.5% mid + buffer.</t>
        </r>
      </text>
    </comment>
    <comment ref="B44" authorId="0" shapeId="0" xr:uid="{00000000-0006-0000-0100-000018000000}">
      <text>
        <r>
          <rPr>
            <sz val="10"/>
            <rFont val="Arial"/>
            <family val="2"/>
          </rPr>
          <t>AI-assisted. Brokerage + closing on disposition.</t>
        </r>
      </text>
    </comment>
    <comment ref="B45" authorId="0" shapeId="0" xr:uid="{00000000-0006-0000-0100-000019000000}">
      <text>
        <r>
          <rPr>
            <sz val="10"/>
            <rFont val="Arial"/>
            <family val="2"/>
          </rPr>
          <t>Team input.</t>
        </r>
      </text>
    </comment>
  </commentList>
</comments>
</file>

<file path=xl/sharedStrings.xml><?xml version="1.0" encoding="utf-8"?>
<sst xmlns="http://schemas.openxmlformats.org/spreadsheetml/2006/main" count="151" uniqueCount="140">
  <si>
    <t>FlexBay - Integrated Financial Model - Dashboard</t>
  </si>
  <si>
    <t>Group 3  |  MGMT 637  |  10-year hold, monthly model</t>
  </si>
  <si>
    <t>CAPITALIZATION</t>
  </si>
  <si>
    <t>Total project cost (all-in)</t>
  </si>
  <si>
    <t>Senior debt</t>
  </si>
  <si>
    <t>Total equity</t>
  </si>
  <si>
    <t>Portfolio size at year 10 (SF)</t>
  </si>
  <si>
    <t>RETURNS (LEVERED, PRE-TAX)</t>
  </si>
  <si>
    <t>Portfolio IRR</t>
  </si>
  <si>
    <t>Equity multiple</t>
  </si>
  <si>
    <t>Stabilized NOI (exit basis)</t>
  </si>
  <si>
    <t>Gross exit value</t>
  </si>
  <si>
    <t>Net exit proceeds</t>
  </si>
  <si>
    <t>YEAR-3 SUSTAINABILITY</t>
  </si>
  <si>
    <t>Year-3 net cash flow (levered)</t>
  </si>
  <si>
    <t>Year-3 occupancy (year-end)</t>
  </si>
  <si>
    <t>Verdict</t>
  </si>
  <si>
    <t>MODELING NOTES</t>
  </si>
  <si>
    <t>Debt is interest-only with a balloon repaid at the year-10 sale (standard value-add hold).</t>
  </si>
  <si>
    <t>Profit recycling (25% of cash into next deal) is internal financing, it nets out of consolidated cash flow and IRR.</t>
  </si>
  <si>
    <t>Exit valued on fully-stabilized portfolio NOI at the exit cap rate.</t>
  </si>
  <si>
    <t>AI assisted in developing assumption benchmarks, each AI-assisted figure is documented in a comment on the Assumptions tab.</t>
  </si>
  <si>
    <t>Important to note that AI assisted values are derived from JLL, CoStar, and LoopNet market and indsutry data.</t>
  </si>
  <si>
    <t>FlexBay - Integrated Financial Model: Assumptions</t>
  </si>
  <si>
    <t>Blue = input (change for scenarios). Black = formula. AI-assisted cells carry a comment explaining derivation.</t>
  </si>
  <si>
    <t>Building</t>
  </si>
  <si>
    <t>Size (SF)</t>
  </si>
  <si>
    <t>Acq. Month</t>
  </si>
  <si>
    <t>Acq. Year</t>
  </si>
  <si>
    <t>Debt Rate</t>
  </si>
  <si>
    <t>Flagship (Bldg 1)</t>
  </si>
  <si>
    <t>Building 2</t>
  </si>
  <si>
    <t>Building 3</t>
  </si>
  <si>
    <t>Building 4</t>
  </si>
  <si>
    <t>Building 5</t>
  </si>
  <si>
    <t>Building 6</t>
  </si>
  <si>
    <t>Total</t>
  </si>
  <si>
    <t>ACQUISITION COST</t>
  </si>
  <si>
    <t>Acquisition price ($/SF)</t>
  </si>
  <si>
    <t>Build-out + modular partitions ($/SF)</t>
  </si>
  <si>
    <t>Soft costs (% of hard cost)</t>
  </si>
  <si>
    <t>FINANCING</t>
  </si>
  <si>
    <t>Senior debt (% of total cost, LTC)</t>
  </si>
  <si>
    <t>LP equity (% of equity)</t>
  </si>
  <si>
    <t>GP equity (% of equity)</t>
  </si>
  <si>
    <t>REVENUE</t>
  </si>
  <si>
    <t>Blended base rent ($/SF, NNN, annual)</t>
  </si>
  <si>
    <t>Annual rent escalation</t>
  </si>
  <si>
    <t>Stabilized occupancy</t>
  </si>
  <si>
    <t>Lease-up ramp to stabilized (months)</t>
  </si>
  <si>
    <t>Starter bays (% of each building)</t>
  </si>
  <si>
    <t>Starter-bay rent discount</t>
  </si>
  <si>
    <t>Other income ($/SF, yr 3+)</t>
  </si>
  <si>
    <t>OPERATING EXPENSES</t>
  </si>
  <si>
    <t>Property opex ($/SF: tax, ins, CAM, maint)</t>
  </si>
  <si>
    <t>Opex recovery (% via NNN)</t>
  </si>
  <si>
    <t>Property management (% of revenue)</t>
  </si>
  <si>
    <t>Corporate G&amp;A, year 1 ($)</t>
  </si>
  <si>
    <t>G&amp;A per added building ($/yr)</t>
  </si>
  <si>
    <t>Marketing base ($/yr)</t>
  </si>
  <si>
    <t>Marketing per lease-up building ($/yr)</t>
  </si>
  <si>
    <t>Leasing commission (% of lease value)</t>
  </si>
  <si>
    <t>Capital reserves ($/SF/yr)</t>
  </si>
  <si>
    <t>EXIT</t>
  </si>
  <si>
    <t>Exit cap rate</t>
  </si>
  <si>
    <t>Selling costs (% of value)</t>
  </si>
  <si>
    <t>Hold period (years)</t>
  </si>
  <si>
    <t>Acquisition &amp; Financing (per building, $)</t>
  </si>
  <si>
    <t>Total Cost</t>
  </si>
  <si>
    <t>Senior Debt</t>
  </si>
  <si>
    <t>Equity</t>
  </si>
  <si>
    <t>LP Equity</t>
  </si>
  <si>
    <t>GP Equity</t>
  </si>
  <si>
    <t>Portfolio Total</t>
  </si>
  <si>
    <t>Operating Model - Revenue, Pro Forma &amp; Returns (monthly, $)</t>
  </si>
  <si>
    <t>Month #</t>
  </si>
  <si>
    <t>Year</t>
  </si>
  <si>
    <t>Lease-up curve (occ by op-month)</t>
  </si>
  <si>
    <t>Rent $/SF (monthly, escalated)</t>
  </si>
  <si>
    <t>Owned SF (portfolio)</t>
  </si>
  <si>
    <t>REVENUE BUILD</t>
  </si>
  <si>
    <t xml:space="preserve">  Flagship (Bldg 1) -- Occupied SF</t>
  </si>
  <si>
    <t xml:space="preserve">  Building 2 -- Occupied SF</t>
  </si>
  <si>
    <t xml:space="preserve">  Building 3 -- Occupied SF</t>
  </si>
  <si>
    <t xml:space="preserve">  Building 4 -- Occupied SF</t>
  </si>
  <si>
    <t xml:space="preserve">  Building 5 -- Occupied SF</t>
  </si>
  <si>
    <t xml:space="preserve">  Building 6 -- Occupied SF</t>
  </si>
  <si>
    <t>Occupied SF (portfolio)</t>
  </si>
  <si>
    <t>Occupancy %</t>
  </si>
  <si>
    <t xml:space="preserve">  Flagship (Bldg 1) -- Revenue</t>
  </si>
  <si>
    <t xml:space="preserve">  Building 2 -- Revenue</t>
  </si>
  <si>
    <t xml:space="preserve">  Building 3 -- Revenue</t>
  </si>
  <si>
    <t xml:space="preserve">  Building 4 -- Revenue</t>
  </si>
  <si>
    <t xml:space="preserve">  Building 5 -- Revenue</t>
  </si>
  <si>
    <t xml:space="preserve">  Building 6 -- Revenue</t>
  </si>
  <si>
    <t>PORTFOLIO REVENUE (EGI)</t>
  </si>
  <si>
    <t>OPERATING PRO FORMA</t>
  </si>
  <si>
    <t>Property opex (net of NNN recovery)</t>
  </si>
  <si>
    <t>Property management</t>
  </si>
  <si>
    <t>NET OPERATING INCOME (NOI)</t>
  </si>
  <si>
    <t>Buildings owned</t>
  </si>
  <si>
    <t>Buildings in lease-up</t>
  </si>
  <si>
    <t>Corporate G&amp;A</t>
  </si>
  <si>
    <t>Marketing</t>
  </si>
  <si>
    <t>Leasing commissions</t>
  </si>
  <si>
    <t>Capital reserves</t>
  </si>
  <si>
    <t>OPERATING PROFIT (unlevered)</t>
  </si>
  <si>
    <t>Interest expense</t>
  </si>
  <si>
    <t>NET CASH FLOW (levered, pre-tax)</t>
  </si>
  <si>
    <t>EQUITY CASH FLOW &amp; RETURNS</t>
  </si>
  <si>
    <t>Equity invested</t>
  </si>
  <si>
    <t>Date</t>
  </si>
  <si>
    <t>Operating cash flow</t>
  </si>
  <si>
    <t>Exit proceeds</t>
  </si>
  <si>
    <t>NET EQUITY CASH FLOW</t>
  </si>
  <si>
    <t>RETURNS SUMMARY</t>
  </si>
  <si>
    <t>Year-10 rent $/SF (annual)</t>
  </si>
  <si>
    <t>Stabilized revenue (annual)</t>
  </si>
  <si>
    <t>Stabilized net opex (annual)</t>
  </si>
  <si>
    <t>Stabilized mgmt (annual)</t>
  </si>
  <si>
    <t>Debt repaid at exit (balloon)</t>
  </si>
  <si>
    <t>Portfolio levered IRR</t>
  </si>
  <si>
    <t>Total equity invested</t>
  </si>
  <si>
    <t>Total distributions + exit</t>
  </si>
  <si>
    <t>Annual Summary (Years 1-10)</t>
  </si>
  <si>
    <t>Revenue</t>
  </si>
  <si>
    <t>NOI</t>
  </si>
  <si>
    <t>Operating profit</t>
  </si>
  <si>
    <t>Interest</t>
  </si>
  <si>
    <t>Net cash flow (levered)</t>
  </si>
  <si>
    <t>Cumulative net cash flow</t>
  </si>
  <si>
    <t>Owned SF (year-end)</t>
  </si>
  <si>
    <t>Occupancy (year-end)</t>
  </si>
  <si>
    <t>Approx. breakeven occupancy</t>
  </si>
  <si>
    <t>Base-case IRR = 12.7%. Each cell recomputes the portfolio levered IRR from the full model, holding all other assumptions at the base case. Values are computed snapshots; re-run if base assumptions change.</t>
  </si>
  <si>
    <t>Table A — Acquisition price ($/SF)  vs.  Blended rent ($/SF, NNN)</t>
  </si>
  <si>
    <t>Acq $/SF \ Rent $/SF</t>
  </si>
  <si>
    <t>Table B — Exit cap rate  vs.  Annual rent growth</t>
  </si>
  <si>
    <t>Exit cap \ Rent growth</t>
  </si>
  <si>
    <t>Sensitivity Analysis - Portfolio Levered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</si>
</sst>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;&quot;($&quot;#,##0\);\-"/>
    <numFmt numFmtId="165" formatCode="#,###&quot; SF&quot;"/>
    <numFmt numFmtId="166" formatCode="0.0%;\(0.0%\);\-"/>
    <numFmt numFmtId="167" formatCode="0.00\x"/>
    <numFmt numFmtId="168" formatCode="#,##0;\(#,##0\);\-"/>
    <numFmt numFmtId="169" formatCode="0.00%;\(0.00%\);\-"/>
    <numFmt numFmtId="170" formatCode="\$#,##0.00;&quot;($&quot;#,##0.00\);\-"/>
    <numFmt numFmtId="171" formatCode="\$#,##0.00"/>
    <numFmt numFmtId="172" formatCode="\$#,##0"/>
    <numFmt numFmtId="173" formatCode="0.0%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  <charset val="1"/>
    </font>
    <font>
      <sz val="9"/>
      <color rgb="FF80808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8000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b/>
      <sz val="14"/>
      <color rgb="FF1F3864"/>
      <name val="Arial"/>
      <family val="2"/>
    </font>
    <font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F3FB"/>
        <bgColor rgb="FFFFFFFF"/>
      </patternFill>
    </fill>
    <fill>
      <patternFill patternType="solid">
        <fgColor rgb="FFD9E1F2"/>
        <bgColor rgb="FFEFF3FB"/>
      </patternFill>
    </fill>
  </fills>
  <borders count="2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8" fontId="10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8" fontId="11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10" fillId="3" borderId="0" xfId="0" applyNumberFormat="1" applyFont="1" applyFill="1" applyAlignment="1">
      <alignment vertical="center"/>
    </xf>
    <xf numFmtId="17" fontId="5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8" fontId="10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5" fillId="4" borderId="0" xfId="0" applyFont="1" applyFill="1" applyAlignment="1">
      <alignment horizontal="center" vertical="center"/>
    </xf>
    <xf numFmtId="171" fontId="15" fillId="4" borderId="0" xfId="0" applyNumberFormat="1" applyFont="1" applyFill="1" applyAlignment="1">
      <alignment horizontal="center" vertical="center"/>
    </xf>
    <xf numFmtId="172" fontId="15" fillId="4" borderId="0" xfId="0" applyNumberFormat="1" applyFont="1" applyFill="1" applyAlignment="1">
      <alignment horizontal="center" vertical="center"/>
    </xf>
    <xf numFmtId="173" fontId="16" fillId="0" borderId="0" xfId="0" applyNumberFormat="1" applyFont="1" applyAlignment="1">
      <alignment horizontal="center" vertical="center"/>
    </xf>
    <xf numFmtId="173" fontId="17" fillId="0" borderId="1" xfId="0" applyNumberFormat="1" applyFont="1" applyBorder="1" applyAlignment="1">
      <alignment horizontal="center" vertical="center"/>
    </xf>
    <xf numFmtId="173" fontId="15" fillId="4" borderId="0" xfId="0" applyNumberFormat="1" applyFont="1" applyFill="1" applyAlignment="1">
      <alignment horizontal="center" vertical="center"/>
    </xf>
    <xf numFmtId="169" fontId="1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20" customWidth="1"/>
  </cols>
  <sheetData>
    <row r="1" spans="1:2" ht="18" customHeight="1" x14ac:dyDescent="0.2">
      <c r="A1" s="5" t="s">
        <v>0</v>
      </c>
    </row>
    <row r="2" spans="1:2" x14ac:dyDescent="0.2">
      <c r="A2" s="6" t="s">
        <v>1</v>
      </c>
    </row>
    <row r="4" spans="1:2" x14ac:dyDescent="0.2">
      <c r="A4" s="7" t="s">
        <v>2</v>
      </c>
      <c r="B4" s="8"/>
    </row>
    <row r="5" spans="1:2" x14ac:dyDescent="0.2">
      <c r="A5" s="9" t="s">
        <v>3</v>
      </c>
      <c r="B5" s="10">
        <f>'Acq &amp; Financing'!D10</f>
        <v>150271875</v>
      </c>
    </row>
    <row r="6" spans="1:2" x14ac:dyDescent="0.2">
      <c r="A6" s="9" t="s">
        <v>4</v>
      </c>
      <c r="B6" s="10">
        <f>'Acq &amp; Financing'!E10</f>
        <v>97676718.75</v>
      </c>
    </row>
    <row r="7" spans="1:2" x14ac:dyDescent="0.2">
      <c r="A7" s="9" t="s">
        <v>5</v>
      </c>
      <c r="B7" s="10">
        <f>'Acq &amp; Financing'!F10</f>
        <v>52595156.25</v>
      </c>
    </row>
    <row r="8" spans="1:2" x14ac:dyDescent="0.2">
      <c r="A8" s="9" t="s">
        <v>6</v>
      </c>
      <c r="B8" s="11">
        <f>Assumptions!B10</f>
        <v>1250000</v>
      </c>
    </row>
    <row r="10" spans="1:2" x14ac:dyDescent="0.2">
      <c r="A10" s="7" t="s">
        <v>7</v>
      </c>
      <c r="B10" s="8"/>
    </row>
    <row r="11" spans="1:2" x14ac:dyDescent="0.2">
      <c r="A11" s="9" t="s">
        <v>8</v>
      </c>
      <c r="B11" s="12">
        <f>'Operating Model'!B56</f>
        <v>0.12740643620491027</v>
      </c>
    </row>
    <row r="12" spans="1:2" x14ac:dyDescent="0.2">
      <c r="A12" s="9" t="s">
        <v>9</v>
      </c>
      <c r="B12" s="13">
        <f>'Operating Model'!B59</f>
        <v>2.4494764002628231</v>
      </c>
    </row>
    <row r="13" spans="1:2" x14ac:dyDescent="0.2">
      <c r="A13" s="9" t="s">
        <v>10</v>
      </c>
      <c r="B13" s="10">
        <f>'Operating Model'!B51</f>
        <v>13904693.865708796</v>
      </c>
    </row>
    <row r="14" spans="1:2" x14ac:dyDescent="0.2">
      <c r="A14" s="9" t="s">
        <v>11</v>
      </c>
      <c r="B14" s="10">
        <f>'Operating Model'!B53</f>
        <v>213918367.1647507</v>
      </c>
    </row>
    <row r="15" spans="1:2" x14ac:dyDescent="0.2">
      <c r="A15" s="9" t="s">
        <v>12</v>
      </c>
      <c r="B15" s="10">
        <f>'Operating Model'!B55</f>
        <v>110893689.23563191</v>
      </c>
    </row>
    <row r="17" spans="1:6" x14ac:dyDescent="0.2">
      <c r="A17" s="7" t="s">
        <v>13</v>
      </c>
      <c r="B17" s="8"/>
    </row>
    <row r="18" spans="1:6" x14ac:dyDescent="0.2">
      <c r="A18" s="9" t="s">
        <v>14</v>
      </c>
      <c r="B18" s="10">
        <f>'Annual Summary'!E8</f>
        <v>-1352047.1196570317</v>
      </c>
    </row>
    <row r="19" spans="1:6" x14ac:dyDescent="0.2">
      <c r="A19" s="9" t="s">
        <v>15</v>
      </c>
      <c r="B19" s="12">
        <f>'Annual Summary'!E11</f>
        <v>0.59999999999999987</v>
      </c>
    </row>
    <row r="20" spans="1:6" x14ac:dyDescent="0.2">
      <c r="A20" s="9" t="s">
        <v>16</v>
      </c>
      <c r="B20" s="14" t="str">
        <f>IF('Annual Summary'!E8&gt;=0,"Self-sustaining by Year 3","NOT self-sustaining in Year 3 (lease-up + growth drag)")</f>
        <v>NOT self-sustaining in Year 3 (lease-up + growth drag)</v>
      </c>
    </row>
    <row r="23" spans="1:6" ht="15" customHeight="1" x14ac:dyDescent="0.2">
      <c r="A23" s="4" t="s">
        <v>17</v>
      </c>
      <c r="B23" s="4"/>
      <c r="C23" s="4"/>
      <c r="D23" s="4"/>
      <c r="E23" s="4"/>
      <c r="F23" s="4"/>
    </row>
    <row r="24" spans="1:6" ht="15" customHeight="1" x14ac:dyDescent="0.2">
      <c r="A24" s="3" t="s">
        <v>18</v>
      </c>
      <c r="B24" s="3"/>
      <c r="C24" s="3"/>
      <c r="D24" s="3"/>
      <c r="E24" s="3"/>
      <c r="F24" s="3"/>
    </row>
    <row r="25" spans="1:6" ht="21.75" customHeight="1" x14ac:dyDescent="0.2">
      <c r="A25" s="3" t="s">
        <v>19</v>
      </c>
      <c r="B25" s="3"/>
      <c r="C25" s="3"/>
      <c r="D25" s="3"/>
      <c r="E25" s="3"/>
      <c r="F25" s="3"/>
    </row>
    <row r="26" spans="1:6" ht="15" customHeight="1" x14ac:dyDescent="0.2">
      <c r="A26" s="3" t="s">
        <v>20</v>
      </c>
      <c r="B26" s="3"/>
      <c r="C26" s="3"/>
      <c r="D26" s="3"/>
      <c r="E26" s="3"/>
      <c r="F26" s="3"/>
    </row>
    <row r="27" spans="1:6" ht="15" customHeight="1" x14ac:dyDescent="0.2">
      <c r="A27" s="3" t="s">
        <v>21</v>
      </c>
      <c r="B27" s="3"/>
      <c r="C27" s="3"/>
      <c r="D27" s="3"/>
      <c r="E27" s="3"/>
      <c r="F27" s="3"/>
    </row>
    <row r="28" spans="1:6" ht="21.75" customHeight="1" x14ac:dyDescent="0.2">
      <c r="A28" s="3" t="s">
        <v>22</v>
      </c>
      <c r="B28" s="3"/>
      <c r="C28" s="3"/>
      <c r="D28" s="3"/>
      <c r="E28" s="3"/>
      <c r="F28" s="3"/>
    </row>
  </sheetData>
  <mergeCells count="6">
    <mergeCell ref="A28:F28"/>
    <mergeCell ref="A23:F23"/>
    <mergeCell ref="A24:F24"/>
    <mergeCell ref="A25:F25"/>
    <mergeCell ref="A26:F26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42" customWidth="1"/>
    <col min="2" max="5" width="13" customWidth="1"/>
  </cols>
  <sheetData>
    <row r="1" spans="1:5" ht="18" customHeight="1" x14ac:dyDescent="0.2">
      <c r="A1" s="5" t="s">
        <v>23</v>
      </c>
    </row>
    <row r="2" spans="1:5" x14ac:dyDescent="0.2">
      <c r="A2" s="6" t="s">
        <v>24</v>
      </c>
    </row>
    <row r="3" spans="1:5" x14ac:dyDescent="0.2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</row>
    <row r="4" spans="1:5" x14ac:dyDescent="0.2">
      <c r="A4" s="9" t="s">
        <v>30</v>
      </c>
      <c r="B4" s="16">
        <v>175000</v>
      </c>
      <c r="C4" s="16">
        <v>1</v>
      </c>
      <c r="D4" s="17">
        <f t="shared" ref="D4:D9" si="0">INT((C4-1)/12)+1</f>
        <v>1</v>
      </c>
      <c r="E4" s="18">
        <v>6.7500000000000004E-2</v>
      </c>
    </row>
    <row r="5" spans="1:5" x14ac:dyDescent="0.2">
      <c r="A5" s="9" t="s">
        <v>31</v>
      </c>
      <c r="B5" s="16">
        <v>175000</v>
      </c>
      <c r="C5" s="16">
        <v>25</v>
      </c>
      <c r="D5" s="17">
        <f t="shared" si="0"/>
        <v>3</v>
      </c>
      <c r="E5" s="18">
        <v>6.7500000000000004E-2</v>
      </c>
    </row>
    <row r="6" spans="1:5" x14ac:dyDescent="0.2">
      <c r="A6" s="9" t="s">
        <v>32</v>
      </c>
      <c r="B6" s="16">
        <v>150000</v>
      </c>
      <c r="C6" s="16">
        <v>37</v>
      </c>
      <c r="D6" s="17">
        <f t="shared" si="0"/>
        <v>4</v>
      </c>
      <c r="E6" s="18">
        <v>0.06</v>
      </c>
    </row>
    <row r="7" spans="1:5" x14ac:dyDescent="0.2">
      <c r="A7" s="9" t="s">
        <v>33</v>
      </c>
      <c r="B7" s="16">
        <v>250000</v>
      </c>
      <c r="C7" s="16">
        <v>49</v>
      </c>
      <c r="D7" s="17">
        <f t="shared" si="0"/>
        <v>5</v>
      </c>
      <c r="E7" s="18">
        <v>0.06</v>
      </c>
    </row>
    <row r="8" spans="1:5" x14ac:dyDescent="0.2">
      <c r="A8" s="9" t="s">
        <v>34</v>
      </c>
      <c r="B8" s="16">
        <v>250000</v>
      </c>
      <c r="C8" s="16">
        <v>61</v>
      </c>
      <c r="D8" s="17">
        <f t="shared" si="0"/>
        <v>6</v>
      </c>
      <c r="E8" s="18">
        <v>5.7500000000000002E-2</v>
      </c>
    </row>
    <row r="9" spans="1:5" x14ac:dyDescent="0.2">
      <c r="A9" s="9" t="s">
        <v>35</v>
      </c>
      <c r="B9" s="16">
        <v>250000</v>
      </c>
      <c r="C9" s="16">
        <v>73</v>
      </c>
      <c r="D9" s="17">
        <f t="shared" si="0"/>
        <v>7</v>
      </c>
      <c r="E9" s="18">
        <v>5.7500000000000002E-2</v>
      </c>
    </row>
    <row r="10" spans="1:5" x14ac:dyDescent="0.2">
      <c r="A10" s="19" t="s">
        <v>36</v>
      </c>
      <c r="B10" s="20">
        <f>SUM(B4:B9)</f>
        <v>1250000</v>
      </c>
    </row>
    <row r="12" spans="1:5" x14ac:dyDescent="0.2">
      <c r="A12" s="7" t="s">
        <v>37</v>
      </c>
      <c r="B12" s="8"/>
    </row>
    <row r="13" spans="1:5" x14ac:dyDescent="0.2">
      <c r="A13" s="9" t="s">
        <v>38</v>
      </c>
      <c r="B13" s="21">
        <v>95</v>
      </c>
    </row>
    <row r="14" spans="1:5" x14ac:dyDescent="0.2">
      <c r="A14" s="9" t="s">
        <v>39</v>
      </c>
      <c r="B14" s="21">
        <v>22</v>
      </c>
    </row>
    <row r="15" spans="1:5" x14ac:dyDescent="0.2">
      <c r="A15" s="9" t="s">
        <v>40</v>
      </c>
      <c r="B15" s="22">
        <v>2.75E-2</v>
      </c>
    </row>
    <row r="17" spans="1:2" x14ac:dyDescent="0.2">
      <c r="A17" s="7" t="s">
        <v>41</v>
      </c>
      <c r="B17" s="8"/>
    </row>
    <row r="18" spans="1:2" x14ac:dyDescent="0.2">
      <c r="A18" s="9" t="s">
        <v>42</v>
      </c>
      <c r="B18" s="22">
        <v>0.65</v>
      </c>
    </row>
    <row r="19" spans="1:2" x14ac:dyDescent="0.2">
      <c r="A19" s="9" t="s">
        <v>43</v>
      </c>
      <c r="B19" s="22">
        <v>0.8</v>
      </c>
    </row>
    <row r="20" spans="1:2" x14ac:dyDescent="0.2">
      <c r="A20" s="9" t="s">
        <v>44</v>
      </c>
      <c r="B20" s="22">
        <v>0.2</v>
      </c>
    </row>
    <row r="22" spans="1:2" x14ac:dyDescent="0.2">
      <c r="A22" s="7" t="s">
        <v>45</v>
      </c>
      <c r="B22" s="8"/>
    </row>
    <row r="23" spans="1:2" x14ac:dyDescent="0.2">
      <c r="A23" s="9" t="s">
        <v>46</v>
      </c>
      <c r="B23" s="23">
        <v>10.25</v>
      </c>
    </row>
    <row r="24" spans="1:2" x14ac:dyDescent="0.2">
      <c r="A24" s="9" t="s">
        <v>47</v>
      </c>
      <c r="B24" s="22">
        <v>0.03</v>
      </c>
    </row>
    <row r="25" spans="1:2" x14ac:dyDescent="0.2">
      <c r="A25" s="9" t="s">
        <v>48</v>
      </c>
      <c r="B25" s="22">
        <v>0.9</v>
      </c>
    </row>
    <row r="26" spans="1:2" x14ac:dyDescent="0.2">
      <c r="A26" s="9" t="s">
        <v>49</v>
      </c>
      <c r="B26" s="16">
        <v>36</v>
      </c>
    </row>
    <row r="27" spans="1:2" x14ac:dyDescent="0.2">
      <c r="A27" s="9" t="s">
        <v>50</v>
      </c>
      <c r="B27" s="22">
        <v>0.05</v>
      </c>
    </row>
    <row r="28" spans="1:2" x14ac:dyDescent="0.2">
      <c r="A28" s="9" t="s">
        <v>51</v>
      </c>
      <c r="B28" s="22">
        <v>0.3</v>
      </c>
    </row>
    <row r="29" spans="1:2" x14ac:dyDescent="0.2">
      <c r="A29" s="9" t="s">
        <v>52</v>
      </c>
      <c r="B29" s="23">
        <v>0.15</v>
      </c>
    </row>
    <row r="31" spans="1:2" x14ac:dyDescent="0.2">
      <c r="A31" s="7" t="s">
        <v>53</v>
      </c>
      <c r="B31" s="8"/>
    </row>
    <row r="32" spans="1:2" x14ac:dyDescent="0.2">
      <c r="A32" s="9" t="s">
        <v>54</v>
      </c>
      <c r="B32" s="23">
        <v>3.5</v>
      </c>
    </row>
    <row r="33" spans="1:2" x14ac:dyDescent="0.2">
      <c r="A33" s="9" t="s">
        <v>55</v>
      </c>
      <c r="B33" s="22">
        <v>0.95</v>
      </c>
    </row>
    <row r="34" spans="1:2" x14ac:dyDescent="0.2">
      <c r="A34" s="9" t="s">
        <v>56</v>
      </c>
      <c r="B34" s="22">
        <v>0.03</v>
      </c>
    </row>
    <row r="35" spans="1:2" x14ac:dyDescent="0.2">
      <c r="A35" s="9" t="s">
        <v>57</v>
      </c>
      <c r="B35" s="21">
        <v>300000</v>
      </c>
    </row>
    <row r="36" spans="1:2" x14ac:dyDescent="0.2">
      <c r="A36" s="9" t="s">
        <v>58</v>
      </c>
      <c r="B36" s="21">
        <v>75000</v>
      </c>
    </row>
    <row r="37" spans="1:2" x14ac:dyDescent="0.2">
      <c r="A37" s="9" t="s">
        <v>59</v>
      </c>
      <c r="B37" s="21">
        <v>20000</v>
      </c>
    </row>
    <row r="38" spans="1:2" x14ac:dyDescent="0.2">
      <c r="A38" s="9" t="s">
        <v>60</v>
      </c>
      <c r="B38" s="21">
        <v>10000</v>
      </c>
    </row>
    <row r="39" spans="1:2" x14ac:dyDescent="0.2">
      <c r="A39" s="9" t="s">
        <v>61</v>
      </c>
      <c r="B39" s="22">
        <v>0.05</v>
      </c>
    </row>
    <row r="40" spans="1:2" x14ac:dyDescent="0.2">
      <c r="A40" s="9" t="s">
        <v>62</v>
      </c>
      <c r="B40" s="23">
        <v>0.15</v>
      </c>
    </row>
    <row r="42" spans="1:2" x14ac:dyDescent="0.2">
      <c r="A42" s="7" t="s">
        <v>63</v>
      </c>
      <c r="B42" s="8"/>
    </row>
    <row r="43" spans="1:2" x14ac:dyDescent="0.2">
      <c r="A43" s="9" t="s">
        <v>64</v>
      </c>
      <c r="B43" s="22">
        <v>6.5000000000000002E-2</v>
      </c>
    </row>
    <row r="44" spans="1:2" x14ac:dyDescent="0.2">
      <c r="A44" s="9" t="s">
        <v>65</v>
      </c>
      <c r="B44" s="22">
        <v>2.5000000000000001E-2</v>
      </c>
    </row>
    <row r="45" spans="1:2" x14ac:dyDescent="0.2">
      <c r="A45" s="9" t="s">
        <v>66</v>
      </c>
      <c r="B45" s="16">
        <v>10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9" width="14" customWidth="1"/>
  </cols>
  <sheetData>
    <row r="1" spans="1:9" ht="18" customHeight="1" x14ac:dyDescent="0.2">
      <c r="A1" s="5" t="s">
        <v>67</v>
      </c>
    </row>
    <row r="3" spans="1:9" x14ac:dyDescent="0.2">
      <c r="A3" s="15" t="s">
        <v>25</v>
      </c>
      <c r="B3" s="15" t="s">
        <v>26</v>
      </c>
      <c r="C3" s="15" t="s">
        <v>27</v>
      </c>
      <c r="D3" s="15" t="s">
        <v>68</v>
      </c>
      <c r="E3" s="15" t="s">
        <v>69</v>
      </c>
      <c r="F3" s="15" t="s">
        <v>70</v>
      </c>
      <c r="G3" s="15" t="s">
        <v>29</v>
      </c>
      <c r="H3" s="15" t="s">
        <v>71</v>
      </c>
      <c r="I3" s="15" t="s">
        <v>72</v>
      </c>
    </row>
    <row r="4" spans="1:9" x14ac:dyDescent="0.2">
      <c r="A4" s="24" t="str">
        <f>Assumptions!A4</f>
        <v>Flagship (Bldg 1)</v>
      </c>
      <c r="B4" s="25">
        <f>Assumptions!B4</f>
        <v>175000</v>
      </c>
      <c r="C4" s="25">
        <f>Assumptions!C4</f>
        <v>1</v>
      </c>
      <c r="D4" s="26">
        <f>Assumptions!B4*(Assumptions!$B$13+Assumptions!$B$14)*(1+Assumptions!$B$15)</f>
        <v>21038062.5</v>
      </c>
      <c r="E4" s="26">
        <f>Assumptions!$B$18*D4</f>
        <v>13674740.625</v>
      </c>
      <c r="F4" s="26">
        <f t="shared" ref="F4:F9" si="0">D4-E4</f>
        <v>7363321.875</v>
      </c>
      <c r="G4" s="45">
        <f>Assumptions!E4</f>
        <v>6.7500000000000004E-2</v>
      </c>
      <c r="H4" s="26">
        <f>F4*Assumptions!$B$19</f>
        <v>5890657.5</v>
      </c>
      <c r="I4" s="26">
        <f>F4*Assumptions!$B$20</f>
        <v>1472664.375</v>
      </c>
    </row>
    <row r="5" spans="1:9" x14ac:dyDescent="0.2">
      <c r="A5" s="24" t="str">
        <f>Assumptions!A5</f>
        <v>Building 2</v>
      </c>
      <c r="B5" s="25">
        <f>Assumptions!B5</f>
        <v>175000</v>
      </c>
      <c r="C5" s="25">
        <f>Assumptions!C5</f>
        <v>25</v>
      </c>
      <c r="D5" s="26">
        <f>Assumptions!B5*(Assumptions!$B$13+Assumptions!$B$14)*(1+Assumptions!$B$15)</f>
        <v>21038062.5</v>
      </c>
      <c r="E5" s="26">
        <f>Assumptions!$B$18*D5</f>
        <v>13674740.625</v>
      </c>
      <c r="F5" s="26">
        <f t="shared" si="0"/>
        <v>7363321.875</v>
      </c>
      <c r="G5" s="45">
        <f>Assumptions!E5</f>
        <v>6.7500000000000004E-2</v>
      </c>
      <c r="H5" s="26">
        <f>F5*Assumptions!$B$19</f>
        <v>5890657.5</v>
      </c>
      <c r="I5" s="26">
        <f>F5*Assumptions!$B$20</f>
        <v>1472664.375</v>
      </c>
    </row>
    <row r="6" spans="1:9" x14ac:dyDescent="0.2">
      <c r="A6" s="24" t="str">
        <f>Assumptions!A6</f>
        <v>Building 3</v>
      </c>
      <c r="B6" s="25">
        <f>Assumptions!B6</f>
        <v>150000</v>
      </c>
      <c r="C6" s="25">
        <f>Assumptions!C6</f>
        <v>37</v>
      </c>
      <c r="D6" s="26">
        <f>Assumptions!B6*(Assumptions!$B$13+Assumptions!$B$14)*(1+Assumptions!$B$15)</f>
        <v>18032625</v>
      </c>
      <c r="E6" s="26">
        <f>Assumptions!$B$18*D6</f>
        <v>11721206.25</v>
      </c>
      <c r="F6" s="26">
        <f t="shared" si="0"/>
        <v>6311418.75</v>
      </c>
      <c r="G6" s="45">
        <f>Assumptions!E6</f>
        <v>0.06</v>
      </c>
      <c r="H6" s="26">
        <f>F6*Assumptions!$B$19</f>
        <v>5049135</v>
      </c>
      <c r="I6" s="26">
        <f>F6*Assumptions!$B$20</f>
        <v>1262283.75</v>
      </c>
    </row>
    <row r="7" spans="1:9" x14ac:dyDescent="0.2">
      <c r="A7" s="24" t="str">
        <f>Assumptions!A7</f>
        <v>Building 4</v>
      </c>
      <c r="B7" s="25">
        <f>Assumptions!B7</f>
        <v>250000</v>
      </c>
      <c r="C7" s="25">
        <f>Assumptions!C7</f>
        <v>49</v>
      </c>
      <c r="D7" s="26">
        <f>Assumptions!B7*(Assumptions!$B$13+Assumptions!$B$14)*(1+Assumptions!$B$15)</f>
        <v>30054375.000000004</v>
      </c>
      <c r="E7" s="26">
        <f>Assumptions!$B$18*D7</f>
        <v>19535343.750000004</v>
      </c>
      <c r="F7" s="26">
        <f t="shared" si="0"/>
        <v>10519031.25</v>
      </c>
      <c r="G7" s="45">
        <f>Assumptions!E7</f>
        <v>0.06</v>
      </c>
      <c r="H7" s="26">
        <f>F7*Assumptions!$B$19</f>
        <v>8415225</v>
      </c>
      <c r="I7" s="26">
        <f>F7*Assumptions!$B$20</f>
        <v>2103806.25</v>
      </c>
    </row>
    <row r="8" spans="1:9" x14ac:dyDescent="0.2">
      <c r="A8" s="24" t="str">
        <f>Assumptions!A8</f>
        <v>Building 5</v>
      </c>
      <c r="B8" s="25">
        <f>Assumptions!B8</f>
        <v>250000</v>
      </c>
      <c r="C8" s="25">
        <f>Assumptions!C8</f>
        <v>61</v>
      </c>
      <c r="D8" s="26">
        <f>Assumptions!B8*(Assumptions!$B$13+Assumptions!$B$14)*(1+Assumptions!$B$15)</f>
        <v>30054375.000000004</v>
      </c>
      <c r="E8" s="26">
        <f>Assumptions!$B$18*D8</f>
        <v>19535343.750000004</v>
      </c>
      <c r="F8" s="26">
        <f t="shared" si="0"/>
        <v>10519031.25</v>
      </c>
      <c r="G8" s="45">
        <f>Assumptions!E8</f>
        <v>5.7500000000000002E-2</v>
      </c>
      <c r="H8" s="26">
        <f>F8*Assumptions!$B$19</f>
        <v>8415225</v>
      </c>
      <c r="I8" s="26">
        <f>F8*Assumptions!$B$20</f>
        <v>2103806.25</v>
      </c>
    </row>
    <row r="9" spans="1:9" x14ac:dyDescent="0.2">
      <c r="A9" s="24" t="str">
        <f>Assumptions!A9</f>
        <v>Building 6</v>
      </c>
      <c r="B9" s="25">
        <f>Assumptions!B9</f>
        <v>250000</v>
      </c>
      <c r="C9" s="25">
        <f>Assumptions!C9</f>
        <v>73</v>
      </c>
      <c r="D9" s="26">
        <f>Assumptions!B9*(Assumptions!$B$13+Assumptions!$B$14)*(1+Assumptions!$B$15)</f>
        <v>30054375.000000004</v>
      </c>
      <c r="E9" s="26">
        <f>Assumptions!$B$18*D9</f>
        <v>19535343.750000004</v>
      </c>
      <c r="F9" s="26">
        <f t="shared" si="0"/>
        <v>10519031.25</v>
      </c>
      <c r="G9" s="45">
        <f>Assumptions!E9</f>
        <v>5.7500000000000002E-2</v>
      </c>
      <c r="H9" s="26">
        <f>F9*Assumptions!$B$19</f>
        <v>8415225</v>
      </c>
      <c r="I9" s="26">
        <f>F9*Assumptions!$B$20</f>
        <v>2103806.25</v>
      </c>
    </row>
    <row r="10" spans="1:9" x14ac:dyDescent="0.2">
      <c r="A10" s="19" t="s">
        <v>73</v>
      </c>
      <c r="B10" s="20">
        <f>SUM(B4:B9)</f>
        <v>1250000</v>
      </c>
      <c r="D10" s="27">
        <f>SUM(D4:D9)</f>
        <v>150271875</v>
      </c>
      <c r="E10" s="27">
        <f>SUM(E4:E9)</f>
        <v>97676718.75</v>
      </c>
      <c r="F10" s="27">
        <f>SUM(F4:F9)</f>
        <v>52595156.25</v>
      </c>
      <c r="H10" s="27">
        <f>SUM(H4:H9)</f>
        <v>42076125</v>
      </c>
      <c r="I10" s="27">
        <f>SUM(I4:I9)</f>
        <v>10519031.25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5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36" customWidth="1"/>
    <col min="2" max="2" width="16" customWidth="1"/>
    <col min="3" max="122" width="12" customWidth="1"/>
  </cols>
  <sheetData>
    <row r="1" spans="1:122" ht="18" customHeight="1" x14ac:dyDescent="0.2">
      <c r="A1" s="5" t="s">
        <v>74</v>
      </c>
    </row>
    <row r="2" spans="1:122" x14ac:dyDescent="0.2">
      <c r="A2" s="9" t="s">
        <v>75</v>
      </c>
      <c r="C2" s="17">
        <v>1</v>
      </c>
      <c r="D2" s="17">
        <v>2</v>
      </c>
      <c r="E2" s="17">
        <v>3</v>
      </c>
      <c r="F2" s="17">
        <v>4</v>
      </c>
      <c r="G2" s="17">
        <v>5</v>
      </c>
      <c r="H2" s="17">
        <v>6</v>
      </c>
      <c r="I2" s="17">
        <v>7</v>
      </c>
      <c r="J2" s="17">
        <v>8</v>
      </c>
      <c r="K2" s="17">
        <v>9</v>
      </c>
      <c r="L2" s="17">
        <v>10</v>
      </c>
      <c r="M2" s="17">
        <v>11</v>
      </c>
      <c r="N2" s="17">
        <v>12</v>
      </c>
      <c r="O2" s="17">
        <v>13</v>
      </c>
      <c r="P2" s="17">
        <v>14</v>
      </c>
      <c r="Q2" s="17">
        <v>15</v>
      </c>
      <c r="R2" s="17">
        <v>16</v>
      </c>
      <c r="S2" s="17">
        <v>17</v>
      </c>
      <c r="T2" s="17">
        <v>18</v>
      </c>
      <c r="U2" s="17">
        <v>19</v>
      </c>
      <c r="V2" s="17">
        <v>20</v>
      </c>
      <c r="W2" s="17">
        <v>21</v>
      </c>
      <c r="X2" s="17">
        <v>22</v>
      </c>
      <c r="Y2" s="17">
        <v>23</v>
      </c>
      <c r="Z2" s="17">
        <v>24</v>
      </c>
      <c r="AA2" s="17">
        <v>25</v>
      </c>
      <c r="AB2" s="17">
        <v>26</v>
      </c>
      <c r="AC2" s="17">
        <v>27</v>
      </c>
      <c r="AD2" s="17">
        <v>28</v>
      </c>
      <c r="AE2" s="17">
        <v>29</v>
      </c>
      <c r="AF2" s="17">
        <v>30</v>
      </c>
      <c r="AG2" s="17">
        <v>31</v>
      </c>
      <c r="AH2" s="17">
        <v>32</v>
      </c>
      <c r="AI2" s="17">
        <v>33</v>
      </c>
      <c r="AJ2" s="17">
        <v>34</v>
      </c>
      <c r="AK2" s="17">
        <v>35</v>
      </c>
      <c r="AL2" s="17">
        <v>36</v>
      </c>
      <c r="AM2" s="17">
        <v>37</v>
      </c>
      <c r="AN2" s="17">
        <v>38</v>
      </c>
      <c r="AO2" s="17">
        <v>39</v>
      </c>
      <c r="AP2" s="17">
        <v>40</v>
      </c>
      <c r="AQ2" s="17">
        <v>41</v>
      </c>
      <c r="AR2" s="17">
        <v>42</v>
      </c>
      <c r="AS2" s="17">
        <v>43</v>
      </c>
      <c r="AT2" s="17">
        <v>44</v>
      </c>
      <c r="AU2" s="17">
        <v>45</v>
      </c>
      <c r="AV2" s="17">
        <v>46</v>
      </c>
      <c r="AW2" s="17">
        <v>47</v>
      </c>
      <c r="AX2" s="17">
        <v>48</v>
      </c>
      <c r="AY2" s="17">
        <v>49</v>
      </c>
      <c r="AZ2" s="17">
        <v>50</v>
      </c>
      <c r="BA2" s="17">
        <v>51</v>
      </c>
      <c r="BB2" s="17">
        <v>52</v>
      </c>
      <c r="BC2" s="17">
        <v>53</v>
      </c>
      <c r="BD2" s="17">
        <v>54</v>
      </c>
      <c r="BE2" s="17">
        <v>55</v>
      </c>
      <c r="BF2" s="17">
        <v>56</v>
      </c>
      <c r="BG2" s="17">
        <v>57</v>
      </c>
      <c r="BH2" s="17">
        <v>58</v>
      </c>
      <c r="BI2" s="17">
        <v>59</v>
      </c>
      <c r="BJ2" s="17">
        <v>60</v>
      </c>
      <c r="BK2" s="17">
        <v>61</v>
      </c>
      <c r="BL2" s="17">
        <v>62</v>
      </c>
      <c r="BM2" s="17">
        <v>63</v>
      </c>
      <c r="BN2" s="17">
        <v>64</v>
      </c>
      <c r="BO2" s="17">
        <v>65</v>
      </c>
      <c r="BP2" s="17">
        <v>66</v>
      </c>
      <c r="BQ2" s="17">
        <v>67</v>
      </c>
      <c r="BR2" s="17">
        <v>68</v>
      </c>
      <c r="BS2" s="17">
        <v>69</v>
      </c>
      <c r="BT2" s="17">
        <v>70</v>
      </c>
      <c r="BU2" s="17">
        <v>71</v>
      </c>
      <c r="BV2" s="17">
        <v>72</v>
      </c>
      <c r="BW2" s="17">
        <v>73</v>
      </c>
      <c r="BX2" s="17">
        <v>74</v>
      </c>
      <c r="BY2" s="17">
        <v>75</v>
      </c>
      <c r="BZ2" s="17">
        <v>76</v>
      </c>
      <c r="CA2" s="17">
        <v>77</v>
      </c>
      <c r="CB2" s="17">
        <v>78</v>
      </c>
      <c r="CC2" s="17">
        <v>79</v>
      </c>
      <c r="CD2" s="17">
        <v>80</v>
      </c>
      <c r="CE2" s="17">
        <v>81</v>
      </c>
      <c r="CF2" s="17">
        <v>82</v>
      </c>
      <c r="CG2" s="17">
        <v>83</v>
      </c>
      <c r="CH2" s="17">
        <v>84</v>
      </c>
      <c r="CI2" s="17">
        <v>85</v>
      </c>
      <c r="CJ2" s="17">
        <v>86</v>
      </c>
      <c r="CK2" s="17">
        <v>87</v>
      </c>
      <c r="CL2" s="17">
        <v>88</v>
      </c>
      <c r="CM2" s="17">
        <v>89</v>
      </c>
      <c r="CN2" s="17">
        <v>90</v>
      </c>
      <c r="CO2" s="17">
        <v>91</v>
      </c>
      <c r="CP2" s="17">
        <v>92</v>
      </c>
      <c r="CQ2" s="17">
        <v>93</v>
      </c>
      <c r="CR2" s="17">
        <v>94</v>
      </c>
      <c r="CS2" s="17">
        <v>95</v>
      </c>
      <c r="CT2" s="17">
        <v>96</v>
      </c>
      <c r="CU2" s="17">
        <v>97</v>
      </c>
      <c r="CV2" s="17">
        <v>98</v>
      </c>
      <c r="CW2" s="17">
        <v>99</v>
      </c>
      <c r="CX2" s="17">
        <v>100</v>
      </c>
      <c r="CY2" s="17">
        <v>101</v>
      </c>
      <c r="CZ2" s="17">
        <v>102</v>
      </c>
      <c r="DA2" s="17">
        <v>103</v>
      </c>
      <c r="DB2" s="17">
        <v>104</v>
      </c>
      <c r="DC2" s="17">
        <v>105</v>
      </c>
      <c r="DD2" s="17">
        <v>106</v>
      </c>
      <c r="DE2" s="17">
        <v>107</v>
      </c>
      <c r="DF2" s="17">
        <v>108</v>
      </c>
      <c r="DG2" s="17">
        <v>109</v>
      </c>
      <c r="DH2" s="17">
        <v>110</v>
      </c>
      <c r="DI2" s="17">
        <v>111</v>
      </c>
      <c r="DJ2" s="17">
        <v>112</v>
      </c>
      <c r="DK2" s="17">
        <v>113</v>
      </c>
      <c r="DL2" s="17">
        <v>114</v>
      </c>
      <c r="DM2" s="17">
        <v>115</v>
      </c>
      <c r="DN2" s="17">
        <v>116</v>
      </c>
      <c r="DO2" s="17">
        <v>117</v>
      </c>
      <c r="DP2" s="17">
        <v>118</v>
      </c>
      <c r="DQ2" s="17">
        <v>119</v>
      </c>
      <c r="DR2" s="17">
        <v>120</v>
      </c>
    </row>
    <row r="3" spans="1:122" x14ac:dyDescent="0.2">
      <c r="A3" s="9" t="s">
        <v>76</v>
      </c>
      <c r="C3" s="17">
        <f t="shared" ref="C3:AH3" si="0">ROUNDUP(C2/12,0)</f>
        <v>1</v>
      </c>
      <c r="D3" s="17">
        <f t="shared" si="0"/>
        <v>1</v>
      </c>
      <c r="E3" s="17">
        <f t="shared" si="0"/>
        <v>1</v>
      </c>
      <c r="F3" s="17">
        <f t="shared" si="0"/>
        <v>1</v>
      </c>
      <c r="G3" s="17">
        <f t="shared" si="0"/>
        <v>1</v>
      </c>
      <c r="H3" s="17">
        <f t="shared" si="0"/>
        <v>1</v>
      </c>
      <c r="I3" s="17">
        <f t="shared" si="0"/>
        <v>1</v>
      </c>
      <c r="J3" s="17">
        <f t="shared" si="0"/>
        <v>1</v>
      </c>
      <c r="K3" s="17">
        <f t="shared" si="0"/>
        <v>1</v>
      </c>
      <c r="L3" s="17">
        <f t="shared" si="0"/>
        <v>1</v>
      </c>
      <c r="M3" s="17">
        <f t="shared" si="0"/>
        <v>1</v>
      </c>
      <c r="N3" s="17">
        <f t="shared" si="0"/>
        <v>1</v>
      </c>
      <c r="O3" s="17">
        <f t="shared" si="0"/>
        <v>2</v>
      </c>
      <c r="P3" s="17">
        <f t="shared" si="0"/>
        <v>2</v>
      </c>
      <c r="Q3" s="17">
        <f t="shared" si="0"/>
        <v>2</v>
      </c>
      <c r="R3" s="17">
        <f t="shared" si="0"/>
        <v>2</v>
      </c>
      <c r="S3" s="17">
        <f t="shared" si="0"/>
        <v>2</v>
      </c>
      <c r="T3" s="17">
        <f t="shared" si="0"/>
        <v>2</v>
      </c>
      <c r="U3" s="17">
        <f t="shared" si="0"/>
        <v>2</v>
      </c>
      <c r="V3" s="17">
        <f t="shared" si="0"/>
        <v>2</v>
      </c>
      <c r="W3" s="17">
        <f t="shared" si="0"/>
        <v>2</v>
      </c>
      <c r="X3" s="17">
        <f t="shared" si="0"/>
        <v>2</v>
      </c>
      <c r="Y3" s="17">
        <f t="shared" si="0"/>
        <v>2</v>
      </c>
      <c r="Z3" s="17">
        <f t="shared" si="0"/>
        <v>2</v>
      </c>
      <c r="AA3" s="17">
        <f t="shared" si="0"/>
        <v>3</v>
      </c>
      <c r="AB3" s="17">
        <f t="shared" si="0"/>
        <v>3</v>
      </c>
      <c r="AC3" s="17">
        <f t="shared" si="0"/>
        <v>3</v>
      </c>
      <c r="AD3" s="17">
        <f t="shared" si="0"/>
        <v>3</v>
      </c>
      <c r="AE3" s="17">
        <f t="shared" si="0"/>
        <v>3</v>
      </c>
      <c r="AF3" s="17">
        <f t="shared" si="0"/>
        <v>3</v>
      </c>
      <c r="AG3" s="17">
        <f t="shared" si="0"/>
        <v>3</v>
      </c>
      <c r="AH3" s="17">
        <f t="shared" si="0"/>
        <v>3</v>
      </c>
      <c r="AI3" s="17">
        <f t="shared" ref="AI3:BN3" si="1">ROUNDUP(AI2/12,0)</f>
        <v>3</v>
      </c>
      <c r="AJ3" s="17">
        <f t="shared" si="1"/>
        <v>3</v>
      </c>
      <c r="AK3" s="17">
        <f t="shared" si="1"/>
        <v>3</v>
      </c>
      <c r="AL3" s="17">
        <f t="shared" si="1"/>
        <v>3</v>
      </c>
      <c r="AM3" s="17">
        <f t="shared" si="1"/>
        <v>4</v>
      </c>
      <c r="AN3" s="17">
        <f t="shared" si="1"/>
        <v>4</v>
      </c>
      <c r="AO3" s="17">
        <f t="shared" si="1"/>
        <v>4</v>
      </c>
      <c r="AP3" s="17">
        <f t="shared" si="1"/>
        <v>4</v>
      </c>
      <c r="AQ3" s="17">
        <f t="shared" si="1"/>
        <v>4</v>
      </c>
      <c r="AR3" s="17">
        <f t="shared" si="1"/>
        <v>4</v>
      </c>
      <c r="AS3" s="17">
        <f t="shared" si="1"/>
        <v>4</v>
      </c>
      <c r="AT3" s="17">
        <f t="shared" si="1"/>
        <v>4</v>
      </c>
      <c r="AU3" s="17">
        <f t="shared" si="1"/>
        <v>4</v>
      </c>
      <c r="AV3" s="17">
        <f t="shared" si="1"/>
        <v>4</v>
      </c>
      <c r="AW3" s="17">
        <f t="shared" si="1"/>
        <v>4</v>
      </c>
      <c r="AX3" s="17">
        <f t="shared" si="1"/>
        <v>4</v>
      </c>
      <c r="AY3" s="17">
        <f t="shared" si="1"/>
        <v>5</v>
      </c>
      <c r="AZ3" s="17">
        <f t="shared" si="1"/>
        <v>5</v>
      </c>
      <c r="BA3" s="17">
        <f t="shared" si="1"/>
        <v>5</v>
      </c>
      <c r="BB3" s="17">
        <f t="shared" si="1"/>
        <v>5</v>
      </c>
      <c r="BC3" s="17">
        <f t="shared" si="1"/>
        <v>5</v>
      </c>
      <c r="BD3" s="17">
        <f t="shared" si="1"/>
        <v>5</v>
      </c>
      <c r="BE3" s="17">
        <f t="shared" si="1"/>
        <v>5</v>
      </c>
      <c r="BF3" s="17">
        <f t="shared" si="1"/>
        <v>5</v>
      </c>
      <c r="BG3" s="17">
        <f t="shared" si="1"/>
        <v>5</v>
      </c>
      <c r="BH3" s="17">
        <f t="shared" si="1"/>
        <v>5</v>
      </c>
      <c r="BI3" s="17">
        <f t="shared" si="1"/>
        <v>5</v>
      </c>
      <c r="BJ3" s="17">
        <f t="shared" si="1"/>
        <v>5</v>
      </c>
      <c r="BK3" s="17">
        <f t="shared" si="1"/>
        <v>6</v>
      </c>
      <c r="BL3" s="17">
        <f t="shared" si="1"/>
        <v>6</v>
      </c>
      <c r="BM3" s="17">
        <f t="shared" si="1"/>
        <v>6</v>
      </c>
      <c r="BN3" s="17">
        <f t="shared" si="1"/>
        <v>6</v>
      </c>
      <c r="BO3" s="17">
        <f t="shared" ref="BO3:CT3" si="2">ROUNDUP(BO2/12,0)</f>
        <v>6</v>
      </c>
      <c r="BP3" s="17">
        <f t="shared" si="2"/>
        <v>6</v>
      </c>
      <c r="BQ3" s="17">
        <f t="shared" si="2"/>
        <v>6</v>
      </c>
      <c r="BR3" s="17">
        <f t="shared" si="2"/>
        <v>6</v>
      </c>
      <c r="BS3" s="17">
        <f t="shared" si="2"/>
        <v>6</v>
      </c>
      <c r="BT3" s="17">
        <f t="shared" si="2"/>
        <v>6</v>
      </c>
      <c r="BU3" s="17">
        <f t="shared" si="2"/>
        <v>6</v>
      </c>
      <c r="BV3" s="17">
        <f t="shared" si="2"/>
        <v>6</v>
      </c>
      <c r="BW3" s="17">
        <f t="shared" si="2"/>
        <v>7</v>
      </c>
      <c r="BX3" s="17">
        <f t="shared" si="2"/>
        <v>7</v>
      </c>
      <c r="BY3" s="17">
        <f t="shared" si="2"/>
        <v>7</v>
      </c>
      <c r="BZ3" s="17">
        <f t="shared" si="2"/>
        <v>7</v>
      </c>
      <c r="CA3" s="17">
        <f t="shared" si="2"/>
        <v>7</v>
      </c>
      <c r="CB3" s="17">
        <f t="shared" si="2"/>
        <v>7</v>
      </c>
      <c r="CC3" s="17">
        <f t="shared" si="2"/>
        <v>7</v>
      </c>
      <c r="CD3" s="17">
        <f t="shared" si="2"/>
        <v>7</v>
      </c>
      <c r="CE3" s="17">
        <f t="shared" si="2"/>
        <v>7</v>
      </c>
      <c r="CF3" s="17">
        <f t="shared" si="2"/>
        <v>7</v>
      </c>
      <c r="CG3" s="17">
        <f t="shared" si="2"/>
        <v>7</v>
      </c>
      <c r="CH3" s="17">
        <f t="shared" si="2"/>
        <v>7</v>
      </c>
      <c r="CI3" s="17">
        <f t="shared" si="2"/>
        <v>8</v>
      </c>
      <c r="CJ3" s="17">
        <f t="shared" si="2"/>
        <v>8</v>
      </c>
      <c r="CK3" s="17">
        <f t="shared" si="2"/>
        <v>8</v>
      </c>
      <c r="CL3" s="17">
        <f t="shared" si="2"/>
        <v>8</v>
      </c>
      <c r="CM3" s="17">
        <f t="shared" si="2"/>
        <v>8</v>
      </c>
      <c r="CN3" s="17">
        <f t="shared" si="2"/>
        <v>8</v>
      </c>
      <c r="CO3" s="17">
        <f t="shared" si="2"/>
        <v>8</v>
      </c>
      <c r="CP3" s="17">
        <f t="shared" si="2"/>
        <v>8</v>
      </c>
      <c r="CQ3" s="17">
        <f t="shared" si="2"/>
        <v>8</v>
      </c>
      <c r="CR3" s="17">
        <f t="shared" si="2"/>
        <v>8</v>
      </c>
      <c r="CS3" s="17">
        <f t="shared" si="2"/>
        <v>8</v>
      </c>
      <c r="CT3" s="17">
        <f t="shared" si="2"/>
        <v>8</v>
      </c>
      <c r="CU3" s="17">
        <f t="shared" ref="CU3:DZ3" si="3">ROUNDUP(CU2/12,0)</f>
        <v>9</v>
      </c>
      <c r="CV3" s="17">
        <f t="shared" si="3"/>
        <v>9</v>
      </c>
      <c r="CW3" s="17">
        <f t="shared" si="3"/>
        <v>9</v>
      </c>
      <c r="CX3" s="17">
        <f t="shared" si="3"/>
        <v>9</v>
      </c>
      <c r="CY3" s="17">
        <f t="shared" si="3"/>
        <v>9</v>
      </c>
      <c r="CZ3" s="17">
        <f t="shared" si="3"/>
        <v>9</v>
      </c>
      <c r="DA3" s="17">
        <f t="shared" si="3"/>
        <v>9</v>
      </c>
      <c r="DB3" s="17">
        <f t="shared" si="3"/>
        <v>9</v>
      </c>
      <c r="DC3" s="17">
        <f t="shared" si="3"/>
        <v>9</v>
      </c>
      <c r="DD3" s="17">
        <f t="shared" si="3"/>
        <v>9</v>
      </c>
      <c r="DE3" s="17">
        <f t="shared" si="3"/>
        <v>9</v>
      </c>
      <c r="DF3" s="17">
        <f t="shared" si="3"/>
        <v>9</v>
      </c>
      <c r="DG3" s="17">
        <f t="shared" si="3"/>
        <v>10</v>
      </c>
      <c r="DH3" s="17">
        <f t="shared" si="3"/>
        <v>10</v>
      </c>
      <c r="DI3" s="17">
        <f t="shared" si="3"/>
        <v>10</v>
      </c>
      <c r="DJ3" s="17">
        <f t="shared" si="3"/>
        <v>10</v>
      </c>
      <c r="DK3" s="17">
        <f t="shared" si="3"/>
        <v>10</v>
      </c>
      <c r="DL3" s="17">
        <f t="shared" si="3"/>
        <v>10</v>
      </c>
      <c r="DM3" s="17">
        <f t="shared" si="3"/>
        <v>10</v>
      </c>
      <c r="DN3" s="17">
        <f t="shared" si="3"/>
        <v>10</v>
      </c>
      <c r="DO3" s="17">
        <f t="shared" si="3"/>
        <v>10</v>
      </c>
      <c r="DP3" s="17">
        <f t="shared" si="3"/>
        <v>10</v>
      </c>
      <c r="DQ3" s="17">
        <f t="shared" si="3"/>
        <v>10</v>
      </c>
      <c r="DR3" s="17">
        <f t="shared" si="3"/>
        <v>10</v>
      </c>
    </row>
    <row r="4" spans="1:122" x14ac:dyDescent="0.2">
      <c r="A4" s="9" t="s">
        <v>77</v>
      </c>
      <c r="C4" s="28">
        <f>MIN(Assumptions!$B$25,Assumptions!$B$25*C2/Assumptions!$B$26)</f>
        <v>2.5000000000000001E-2</v>
      </c>
      <c r="D4" s="28">
        <f>MIN(Assumptions!$B$25,Assumptions!$B$25*D2/Assumptions!$B$26)</f>
        <v>0.05</v>
      </c>
      <c r="E4" s="28">
        <f>MIN(Assumptions!$B$25,Assumptions!$B$25*E2/Assumptions!$B$26)</f>
        <v>7.5000000000000011E-2</v>
      </c>
      <c r="F4" s="28">
        <f>MIN(Assumptions!$B$25,Assumptions!$B$25*F2/Assumptions!$B$26)</f>
        <v>0.1</v>
      </c>
      <c r="G4" s="28">
        <f>MIN(Assumptions!$B$25,Assumptions!$B$25*G2/Assumptions!$B$26)</f>
        <v>0.125</v>
      </c>
      <c r="H4" s="28">
        <f>MIN(Assumptions!$B$25,Assumptions!$B$25*H2/Assumptions!$B$26)</f>
        <v>0.15000000000000002</v>
      </c>
      <c r="I4" s="28">
        <f>MIN(Assumptions!$B$25,Assumptions!$B$25*I2/Assumptions!$B$26)</f>
        <v>0.17499999999999999</v>
      </c>
      <c r="J4" s="28">
        <f>MIN(Assumptions!$B$25,Assumptions!$B$25*J2/Assumptions!$B$26)</f>
        <v>0.2</v>
      </c>
      <c r="K4" s="28">
        <f>MIN(Assumptions!$B$25,Assumptions!$B$25*K2/Assumptions!$B$26)</f>
        <v>0.22499999999999998</v>
      </c>
      <c r="L4" s="28">
        <f>MIN(Assumptions!$B$25,Assumptions!$B$25*L2/Assumptions!$B$26)</f>
        <v>0.25</v>
      </c>
      <c r="M4" s="28">
        <f>MIN(Assumptions!$B$25,Assumptions!$B$25*M2/Assumptions!$B$26)</f>
        <v>0.27500000000000002</v>
      </c>
      <c r="N4" s="28">
        <f>MIN(Assumptions!$B$25,Assumptions!$B$25*N2/Assumptions!$B$26)</f>
        <v>0.30000000000000004</v>
      </c>
      <c r="O4" s="28">
        <f>MIN(Assumptions!$B$25,Assumptions!$B$25*O2/Assumptions!$B$26)</f>
        <v>0.32500000000000001</v>
      </c>
      <c r="P4" s="28">
        <f>MIN(Assumptions!$B$25,Assumptions!$B$25*P2/Assumptions!$B$26)</f>
        <v>0.35</v>
      </c>
      <c r="Q4" s="28">
        <f>MIN(Assumptions!$B$25,Assumptions!$B$25*Q2/Assumptions!$B$26)</f>
        <v>0.375</v>
      </c>
      <c r="R4" s="28">
        <f>MIN(Assumptions!$B$25,Assumptions!$B$25*R2/Assumptions!$B$26)</f>
        <v>0.4</v>
      </c>
      <c r="S4" s="28">
        <f>MIN(Assumptions!$B$25,Assumptions!$B$25*S2/Assumptions!$B$26)</f>
        <v>0.42500000000000004</v>
      </c>
      <c r="T4" s="28">
        <f>MIN(Assumptions!$B$25,Assumptions!$B$25*T2/Assumptions!$B$26)</f>
        <v>0.44999999999999996</v>
      </c>
      <c r="U4" s="28">
        <f>MIN(Assumptions!$B$25,Assumptions!$B$25*U2/Assumptions!$B$26)</f>
        <v>0.47500000000000003</v>
      </c>
      <c r="V4" s="28">
        <f>MIN(Assumptions!$B$25,Assumptions!$B$25*V2/Assumptions!$B$26)</f>
        <v>0.5</v>
      </c>
      <c r="W4" s="28">
        <f>MIN(Assumptions!$B$25,Assumptions!$B$25*W2/Assumptions!$B$26)</f>
        <v>0.52500000000000002</v>
      </c>
      <c r="X4" s="28">
        <f>MIN(Assumptions!$B$25,Assumptions!$B$25*X2/Assumptions!$B$26)</f>
        <v>0.55000000000000004</v>
      </c>
      <c r="Y4" s="28">
        <f>MIN(Assumptions!$B$25,Assumptions!$B$25*Y2/Assumptions!$B$26)</f>
        <v>0.57499999999999996</v>
      </c>
      <c r="Z4" s="28">
        <f>MIN(Assumptions!$B$25,Assumptions!$B$25*Z2/Assumptions!$B$26)</f>
        <v>0.60000000000000009</v>
      </c>
      <c r="AA4" s="28">
        <f>MIN(Assumptions!$B$25,Assumptions!$B$25*AA2/Assumptions!$B$26)</f>
        <v>0.625</v>
      </c>
      <c r="AB4" s="28">
        <f>MIN(Assumptions!$B$25,Assumptions!$B$25*AB2/Assumptions!$B$26)</f>
        <v>0.65</v>
      </c>
      <c r="AC4" s="28">
        <f>MIN(Assumptions!$B$25,Assumptions!$B$25*AC2/Assumptions!$B$26)</f>
        <v>0.67500000000000004</v>
      </c>
      <c r="AD4" s="28">
        <f>MIN(Assumptions!$B$25,Assumptions!$B$25*AD2/Assumptions!$B$26)</f>
        <v>0.7</v>
      </c>
      <c r="AE4" s="28">
        <f>MIN(Assumptions!$B$25,Assumptions!$B$25*AE2/Assumptions!$B$26)</f>
        <v>0.72500000000000009</v>
      </c>
      <c r="AF4" s="28">
        <f>MIN(Assumptions!$B$25,Assumptions!$B$25*AF2/Assumptions!$B$26)</f>
        <v>0.75</v>
      </c>
      <c r="AG4" s="28">
        <f>MIN(Assumptions!$B$25,Assumptions!$B$25*AG2/Assumptions!$B$26)</f>
        <v>0.77500000000000002</v>
      </c>
      <c r="AH4" s="28">
        <f>MIN(Assumptions!$B$25,Assumptions!$B$25*AH2/Assumptions!$B$26)</f>
        <v>0.8</v>
      </c>
      <c r="AI4" s="28">
        <f>MIN(Assumptions!$B$25,Assumptions!$B$25*AI2/Assumptions!$B$26)</f>
        <v>0.82499999999999996</v>
      </c>
      <c r="AJ4" s="28">
        <f>MIN(Assumptions!$B$25,Assumptions!$B$25*AJ2/Assumptions!$B$26)</f>
        <v>0.85000000000000009</v>
      </c>
      <c r="AK4" s="28">
        <f>MIN(Assumptions!$B$25,Assumptions!$B$25*AK2/Assumptions!$B$26)</f>
        <v>0.875</v>
      </c>
      <c r="AL4" s="28">
        <f>MIN(Assumptions!$B$25,Assumptions!$B$25*AL2/Assumptions!$B$26)</f>
        <v>0.89999999999999991</v>
      </c>
      <c r="AM4" s="28">
        <f>MIN(Assumptions!$B$25,Assumptions!$B$25*AM2/Assumptions!$B$26)</f>
        <v>0.9</v>
      </c>
      <c r="AN4" s="28">
        <f>MIN(Assumptions!$B$25,Assumptions!$B$25*AN2/Assumptions!$B$26)</f>
        <v>0.9</v>
      </c>
      <c r="AO4" s="28">
        <f>MIN(Assumptions!$B$25,Assumptions!$B$25*AO2/Assumptions!$B$26)</f>
        <v>0.9</v>
      </c>
      <c r="AP4" s="28">
        <f>MIN(Assumptions!$B$25,Assumptions!$B$25*AP2/Assumptions!$B$26)</f>
        <v>0.9</v>
      </c>
      <c r="AQ4" s="28">
        <f>MIN(Assumptions!$B$25,Assumptions!$B$25*AQ2/Assumptions!$B$26)</f>
        <v>0.9</v>
      </c>
      <c r="AR4" s="28">
        <f>MIN(Assumptions!$B$25,Assumptions!$B$25*AR2/Assumptions!$B$26)</f>
        <v>0.9</v>
      </c>
      <c r="AS4" s="28">
        <f>MIN(Assumptions!$B$25,Assumptions!$B$25*AS2/Assumptions!$B$26)</f>
        <v>0.9</v>
      </c>
      <c r="AT4" s="28">
        <f>MIN(Assumptions!$B$25,Assumptions!$B$25*AT2/Assumptions!$B$26)</f>
        <v>0.9</v>
      </c>
      <c r="AU4" s="28">
        <f>MIN(Assumptions!$B$25,Assumptions!$B$25*AU2/Assumptions!$B$26)</f>
        <v>0.9</v>
      </c>
      <c r="AV4" s="28">
        <f>MIN(Assumptions!$B$25,Assumptions!$B$25*AV2/Assumptions!$B$26)</f>
        <v>0.9</v>
      </c>
      <c r="AW4" s="28">
        <f>MIN(Assumptions!$B$25,Assumptions!$B$25*AW2/Assumptions!$B$26)</f>
        <v>0.9</v>
      </c>
      <c r="AX4" s="28">
        <f>MIN(Assumptions!$B$25,Assumptions!$B$25*AX2/Assumptions!$B$26)</f>
        <v>0.9</v>
      </c>
      <c r="AY4" s="28">
        <f>MIN(Assumptions!$B$25,Assumptions!$B$25*AY2/Assumptions!$B$26)</f>
        <v>0.9</v>
      </c>
      <c r="AZ4" s="28">
        <f>MIN(Assumptions!$B$25,Assumptions!$B$25*AZ2/Assumptions!$B$26)</f>
        <v>0.9</v>
      </c>
      <c r="BA4" s="28">
        <f>MIN(Assumptions!$B$25,Assumptions!$B$25*BA2/Assumptions!$B$26)</f>
        <v>0.9</v>
      </c>
      <c r="BB4" s="28">
        <f>MIN(Assumptions!$B$25,Assumptions!$B$25*BB2/Assumptions!$B$26)</f>
        <v>0.9</v>
      </c>
      <c r="BC4" s="28">
        <f>MIN(Assumptions!$B$25,Assumptions!$B$25*BC2/Assumptions!$B$26)</f>
        <v>0.9</v>
      </c>
      <c r="BD4" s="28">
        <f>MIN(Assumptions!$B$25,Assumptions!$B$25*BD2/Assumptions!$B$26)</f>
        <v>0.9</v>
      </c>
      <c r="BE4" s="28">
        <f>MIN(Assumptions!$B$25,Assumptions!$B$25*BE2/Assumptions!$B$26)</f>
        <v>0.9</v>
      </c>
      <c r="BF4" s="28">
        <f>MIN(Assumptions!$B$25,Assumptions!$B$25*BF2/Assumptions!$B$26)</f>
        <v>0.9</v>
      </c>
      <c r="BG4" s="28">
        <f>MIN(Assumptions!$B$25,Assumptions!$B$25*BG2/Assumptions!$B$26)</f>
        <v>0.9</v>
      </c>
      <c r="BH4" s="28">
        <f>MIN(Assumptions!$B$25,Assumptions!$B$25*BH2/Assumptions!$B$26)</f>
        <v>0.9</v>
      </c>
      <c r="BI4" s="28">
        <f>MIN(Assumptions!$B$25,Assumptions!$B$25*BI2/Assumptions!$B$26)</f>
        <v>0.9</v>
      </c>
      <c r="BJ4" s="28">
        <f>MIN(Assumptions!$B$25,Assumptions!$B$25*BJ2/Assumptions!$B$26)</f>
        <v>0.9</v>
      </c>
      <c r="BK4" s="28">
        <f>MIN(Assumptions!$B$25,Assumptions!$B$25*BK2/Assumptions!$B$26)</f>
        <v>0.9</v>
      </c>
      <c r="BL4" s="28">
        <f>MIN(Assumptions!$B$25,Assumptions!$B$25*BL2/Assumptions!$B$26)</f>
        <v>0.9</v>
      </c>
      <c r="BM4" s="28">
        <f>MIN(Assumptions!$B$25,Assumptions!$B$25*BM2/Assumptions!$B$26)</f>
        <v>0.9</v>
      </c>
      <c r="BN4" s="28">
        <f>MIN(Assumptions!$B$25,Assumptions!$B$25*BN2/Assumptions!$B$26)</f>
        <v>0.9</v>
      </c>
      <c r="BO4" s="28">
        <f>MIN(Assumptions!$B$25,Assumptions!$B$25*BO2/Assumptions!$B$26)</f>
        <v>0.9</v>
      </c>
      <c r="BP4" s="28">
        <f>MIN(Assumptions!$B$25,Assumptions!$B$25*BP2/Assumptions!$B$26)</f>
        <v>0.9</v>
      </c>
      <c r="BQ4" s="28">
        <f>MIN(Assumptions!$B$25,Assumptions!$B$25*BQ2/Assumptions!$B$26)</f>
        <v>0.9</v>
      </c>
      <c r="BR4" s="28">
        <f>MIN(Assumptions!$B$25,Assumptions!$B$25*BR2/Assumptions!$B$26)</f>
        <v>0.9</v>
      </c>
      <c r="BS4" s="28">
        <f>MIN(Assumptions!$B$25,Assumptions!$B$25*BS2/Assumptions!$B$26)</f>
        <v>0.9</v>
      </c>
      <c r="BT4" s="28">
        <f>MIN(Assumptions!$B$25,Assumptions!$B$25*BT2/Assumptions!$B$26)</f>
        <v>0.9</v>
      </c>
      <c r="BU4" s="28">
        <f>MIN(Assumptions!$B$25,Assumptions!$B$25*BU2/Assumptions!$B$26)</f>
        <v>0.9</v>
      </c>
      <c r="BV4" s="28">
        <f>MIN(Assumptions!$B$25,Assumptions!$B$25*BV2/Assumptions!$B$26)</f>
        <v>0.9</v>
      </c>
      <c r="BW4" s="28">
        <f>MIN(Assumptions!$B$25,Assumptions!$B$25*BW2/Assumptions!$B$26)</f>
        <v>0.9</v>
      </c>
      <c r="BX4" s="28">
        <f>MIN(Assumptions!$B$25,Assumptions!$B$25*BX2/Assumptions!$B$26)</f>
        <v>0.9</v>
      </c>
      <c r="BY4" s="28">
        <f>MIN(Assumptions!$B$25,Assumptions!$B$25*BY2/Assumptions!$B$26)</f>
        <v>0.9</v>
      </c>
      <c r="BZ4" s="28">
        <f>MIN(Assumptions!$B$25,Assumptions!$B$25*BZ2/Assumptions!$B$26)</f>
        <v>0.9</v>
      </c>
      <c r="CA4" s="28">
        <f>MIN(Assumptions!$B$25,Assumptions!$B$25*CA2/Assumptions!$B$26)</f>
        <v>0.9</v>
      </c>
      <c r="CB4" s="28">
        <f>MIN(Assumptions!$B$25,Assumptions!$B$25*CB2/Assumptions!$B$26)</f>
        <v>0.9</v>
      </c>
      <c r="CC4" s="28">
        <f>MIN(Assumptions!$B$25,Assumptions!$B$25*CC2/Assumptions!$B$26)</f>
        <v>0.9</v>
      </c>
      <c r="CD4" s="28">
        <f>MIN(Assumptions!$B$25,Assumptions!$B$25*CD2/Assumptions!$B$26)</f>
        <v>0.9</v>
      </c>
      <c r="CE4" s="28">
        <f>MIN(Assumptions!$B$25,Assumptions!$B$25*CE2/Assumptions!$B$26)</f>
        <v>0.9</v>
      </c>
      <c r="CF4" s="28">
        <f>MIN(Assumptions!$B$25,Assumptions!$B$25*CF2/Assumptions!$B$26)</f>
        <v>0.9</v>
      </c>
      <c r="CG4" s="28">
        <f>MIN(Assumptions!$B$25,Assumptions!$B$25*CG2/Assumptions!$B$26)</f>
        <v>0.9</v>
      </c>
      <c r="CH4" s="28">
        <f>MIN(Assumptions!$B$25,Assumptions!$B$25*CH2/Assumptions!$B$26)</f>
        <v>0.9</v>
      </c>
      <c r="CI4" s="28">
        <f>MIN(Assumptions!$B$25,Assumptions!$B$25*CI2/Assumptions!$B$26)</f>
        <v>0.9</v>
      </c>
      <c r="CJ4" s="28">
        <f>MIN(Assumptions!$B$25,Assumptions!$B$25*CJ2/Assumptions!$B$26)</f>
        <v>0.9</v>
      </c>
      <c r="CK4" s="28">
        <f>MIN(Assumptions!$B$25,Assumptions!$B$25*CK2/Assumptions!$B$26)</f>
        <v>0.9</v>
      </c>
      <c r="CL4" s="28">
        <f>MIN(Assumptions!$B$25,Assumptions!$B$25*CL2/Assumptions!$B$26)</f>
        <v>0.9</v>
      </c>
      <c r="CM4" s="28">
        <f>MIN(Assumptions!$B$25,Assumptions!$B$25*CM2/Assumptions!$B$26)</f>
        <v>0.9</v>
      </c>
      <c r="CN4" s="28">
        <f>MIN(Assumptions!$B$25,Assumptions!$B$25*CN2/Assumptions!$B$26)</f>
        <v>0.9</v>
      </c>
      <c r="CO4" s="28">
        <f>MIN(Assumptions!$B$25,Assumptions!$B$25*CO2/Assumptions!$B$26)</f>
        <v>0.9</v>
      </c>
      <c r="CP4" s="28">
        <f>MIN(Assumptions!$B$25,Assumptions!$B$25*CP2/Assumptions!$B$26)</f>
        <v>0.9</v>
      </c>
      <c r="CQ4" s="28">
        <f>MIN(Assumptions!$B$25,Assumptions!$B$25*CQ2/Assumptions!$B$26)</f>
        <v>0.9</v>
      </c>
      <c r="CR4" s="28">
        <f>MIN(Assumptions!$B$25,Assumptions!$B$25*CR2/Assumptions!$B$26)</f>
        <v>0.9</v>
      </c>
      <c r="CS4" s="28">
        <f>MIN(Assumptions!$B$25,Assumptions!$B$25*CS2/Assumptions!$B$26)</f>
        <v>0.9</v>
      </c>
      <c r="CT4" s="28">
        <f>MIN(Assumptions!$B$25,Assumptions!$B$25*CT2/Assumptions!$B$26)</f>
        <v>0.9</v>
      </c>
      <c r="CU4" s="28">
        <f>MIN(Assumptions!$B$25,Assumptions!$B$25*CU2/Assumptions!$B$26)</f>
        <v>0.9</v>
      </c>
      <c r="CV4" s="28">
        <f>MIN(Assumptions!$B$25,Assumptions!$B$25*CV2/Assumptions!$B$26)</f>
        <v>0.9</v>
      </c>
      <c r="CW4" s="28">
        <f>MIN(Assumptions!$B$25,Assumptions!$B$25*CW2/Assumptions!$B$26)</f>
        <v>0.9</v>
      </c>
      <c r="CX4" s="28">
        <f>MIN(Assumptions!$B$25,Assumptions!$B$25*CX2/Assumptions!$B$26)</f>
        <v>0.9</v>
      </c>
      <c r="CY4" s="28">
        <f>MIN(Assumptions!$B$25,Assumptions!$B$25*CY2/Assumptions!$B$26)</f>
        <v>0.9</v>
      </c>
      <c r="CZ4" s="28">
        <f>MIN(Assumptions!$B$25,Assumptions!$B$25*CZ2/Assumptions!$B$26)</f>
        <v>0.9</v>
      </c>
      <c r="DA4" s="28">
        <f>MIN(Assumptions!$B$25,Assumptions!$B$25*DA2/Assumptions!$B$26)</f>
        <v>0.9</v>
      </c>
      <c r="DB4" s="28">
        <f>MIN(Assumptions!$B$25,Assumptions!$B$25*DB2/Assumptions!$B$26)</f>
        <v>0.9</v>
      </c>
      <c r="DC4" s="28">
        <f>MIN(Assumptions!$B$25,Assumptions!$B$25*DC2/Assumptions!$B$26)</f>
        <v>0.9</v>
      </c>
      <c r="DD4" s="28">
        <f>MIN(Assumptions!$B$25,Assumptions!$B$25*DD2/Assumptions!$B$26)</f>
        <v>0.9</v>
      </c>
      <c r="DE4" s="28">
        <f>MIN(Assumptions!$B$25,Assumptions!$B$25*DE2/Assumptions!$B$26)</f>
        <v>0.9</v>
      </c>
      <c r="DF4" s="28">
        <f>MIN(Assumptions!$B$25,Assumptions!$B$25*DF2/Assumptions!$B$26)</f>
        <v>0.9</v>
      </c>
      <c r="DG4" s="28">
        <f>MIN(Assumptions!$B$25,Assumptions!$B$25*DG2/Assumptions!$B$26)</f>
        <v>0.9</v>
      </c>
      <c r="DH4" s="28">
        <f>MIN(Assumptions!$B$25,Assumptions!$B$25*DH2/Assumptions!$B$26)</f>
        <v>0.9</v>
      </c>
      <c r="DI4" s="28">
        <f>MIN(Assumptions!$B$25,Assumptions!$B$25*DI2/Assumptions!$B$26)</f>
        <v>0.9</v>
      </c>
      <c r="DJ4" s="28">
        <f>MIN(Assumptions!$B$25,Assumptions!$B$25*DJ2/Assumptions!$B$26)</f>
        <v>0.9</v>
      </c>
      <c r="DK4" s="28">
        <f>MIN(Assumptions!$B$25,Assumptions!$B$25*DK2/Assumptions!$B$26)</f>
        <v>0.9</v>
      </c>
      <c r="DL4" s="28">
        <f>MIN(Assumptions!$B$25,Assumptions!$B$25*DL2/Assumptions!$B$26)</f>
        <v>0.9</v>
      </c>
      <c r="DM4" s="28">
        <f>MIN(Assumptions!$B$25,Assumptions!$B$25*DM2/Assumptions!$B$26)</f>
        <v>0.9</v>
      </c>
      <c r="DN4" s="28">
        <f>MIN(Assumptions!$B$25,Assumptions!$B$25*DN2/Assumptions!$B$26)</f>
        <v>0.9</v>
      </c>
      <c r="DO4" s="28">
        <f>MIN(Assumptions!$B$25,Assumptions!$B$25*DO2/Assumptions!$B$26)</f>
        <v>0.9</v>
      </c>
      <c r="DP4" s="28">
        <f>MIN(Assumptions!$B$25,Assumptions!$B$25*DP2/Assumptions!$B$26)</f>
        <v>0.9</v>
      </c>
      <c r="DQ4" s="28">
        <f>MIN(Assumptions!$B$25,Assumptions!$B$25*DQ2/Assumptions!$B$26)</f>
        <v>0.9</v>
      </c>
      <c r="DR4" s="28">
        <f>MIN(Assumptions!$B$25,Assumptions!$B$25*DR2/Assumptions!$B$26)</f>
        <v>0.9</v>
      </c>
    </row>
    <row r="5" spans="1:122" x14ac:dyDescent="0.2">
      <c r="A5" s="9" t="s">
        <v>78</v>
      </c>
      <c r="C5" s="29">
        <f>Assumptions!$B$23*(1+Assumptions!$B$24)^(C3-1)/12</f>
        <v>0.85416666666666663</v>
      </c>
      <c r="D5" s="29">
        <f>Assumptions!$B$23*(1+Assumptions!$B$24)^(D3-1)/12</f>
        <v>0.85416666666666663</v>
      </c>
      <c r="E5" s="29">
        <f>Assumptions!$B$23*(1+Assumptions!$B$24)^(E3-1)/12</f>
        <v>0.85416666666666663</v>
      </c>
      <c r="F5" s="29">
        <f>Assumptions!$B$23*(1+Assumptions!$B$24)^(F3-1)/12</f>
        <v>0.85416666666666663</v>
      </c>
      <c r="G5" s="29">
        <f>Assumptions!$B$23*(1+Assumptions!$B$24)^(G3-1)/12</f>
        <v>0.85416666666666663</v>
      </c>
      <c r="H5" s="29">
        <f>Assumptions!$B$23*(1+Assumptions!$B$24)^(H3-1)/12</f>
        <v>0.85416666666666663</v>
      </c>
      <c r="I5" s="29">
        <f>Assumptions!$B$23*(1+Assumptions!$B$24)^(I3-1)/12</f>
        <v>0.85416666666666663</v>
      </c>
      <c r="J5" s="29">
        <f>Assumptions!$B$23*(1+Assumptions!$B$24)^(J3-1)/12</f>
        <v>0.85416666666666663</v>
      </c>
      <c r="K5" s="29">
        <f>Assumptions!$B$23*(1+Assumptions!$B$24)^(K3-1)/12</f>
        <v>0.85416666666666663</v>
      </c>
      <c r="L5" s="29">
        <f>Assumptions!$B$23*(1+Assumptions!$B$24)^(L3-1)/12</f>
        <v>0.85416666666666663</v>
      </c>
      <c r="M5" s="29">
        <f>Assumptions!$B$23*(1+Assumptions!$B$24)^(M3-1)/12</f>
        <v>0.85416666666666663</v>
      </c>
      <c r="N5" s="29">
        <f>Assumptions!$B$23*(1+Assumptions!$B$24)^(N3-1)/12</f>
        <v>0.85416666666666663</v>
      </c>
      <c r="O5" s="29">
        <f>Assumptions!$B$23*(1+Assumptions!$B$24)^(O3-1)/12</f>
        <v>0.87979166666666675</v>
      </c>
      <c r="P5" s="29">
        <f>Assumptions!$B$23*(1+Assumptions!$B$24)^(P3-1)/12</f>
        <v>0.87979166666666675</v>
      </c>
      <c r="Q5" s="29">
        <f>Assumptions!$B$23*(1+Assumptions!$B$24)^(Q3-1)/12</f>
        <v>0.87979166666666675</v>
      </c>
      <c r="R5" s="29">
        <f>Assumptions!$B$23*(1+Assumptions!$B$24)^(R3-1)/12</f>
        <v>0.87979166666666675</v>
      </c>
      <c r="S5" s="29">
        <f>Assumptions!$B$23*(1+Assumptions!$B$24)^(S3-1)/12</f>
        <v>0.87979166666666675</v>
      </c>
      <c r="T5" s="29">
        <f>Assumptions!$B$23*(1+Assumptions!$B$24)^(T3-1)/12</f>
        <v>0.87979166666666675</v>
      </c>
      <c r="U5" s="29">
        <f>Assumptions!$B$23*(1+Assumptions!$B$24)^(U3-1)/12</f>
        <v>0.87979166666666675</v>
      </c>
      <c r="V5" s="29">
        <f>Assumptions!$B$23*(1+Assumptions!$B$24)^(V3-1)/12</f>
        <v>0.87979166666666675</v>
      </c>
      <c r="W5" s="29">
        <f>Assumptions!$B$23*(1+Assumptions!$B$24)^(W3-1)/12</f>
        <v>0.87979166666666675</v>
      </c>
      <c r="X5" s="29">
        <f>Assumptions!$B$23*(1+Assumptions!$B$24)^(X3-1)/12</f>
        <v>0.87979166666666675</v>
      </c>
      <c r="Y5" s="29">
        <f>Assumptions!$B$23*(1+Assumptions!$B$24)^(Y3-1)/12</f>
        <v>0.87979166666666675</v>
      </c>
      <c r="Z5" s="29">
        <f>Assumptions!$B$23*(1+Assumptions!$B$24)^(Z3-1)/12</f>
        <v>0.87979166666666675</v>
      </c>
      <c r="AA5" s="29">
        <f>Assumptions!$B$23*(1+Assumptions!$B$24)^(AA3-1)/12</f>
        <v>0.90618541666666663</v>
      </c>
      <c r="AB5" s="29">
        <f>Assumptions!$B$23*(1+Assumptions!$B$24)^(AB3-1)/12</f>
        <v>0.90618541666666663</v>
      </c>
      <c r="AC5" s="29">
        <f>Assumptions!$B$23*(1+Assumptions!$B$24)^(AC3-1)/12</f>
        <v>0.90618541666666663</v>
      </c>
      <c r="AD5" s="29">
        <f>Assumptions!$B$23*(1+Assumptions!$B$24)^(AD3-1)/12</f>
        <v>0.90618541666666663</v>
      </c>
      <c r="AE5" s="29">
        <f>Assumptions!$B$23*(1+Assumptions!$B$24)^(AE3-1)/12</f>
        <v>0.90618541666666663</v>
      </c>
      <c r="AF5" s="29">
        <f>Assumptions!$B$23*(1+Assumptions!$B$24)^(AF3-1)/12</f>
        <v>0.90618541666666663</v>
      </c>
      <c r="AG5" s="29">
        <f>Assumptions!$B$23*(1+Assumptions!$B$24)^(AG3-1)/12</f>
        <v>0.90618541666666663</v>
      </c>
      <c r="AH5" s="29">
        <f>Assumptions!$B$23*(1+Assumptions!$B$24)^(AH3-1)/12</f>
        <v>0.90618541666666663</v>
      </c>
      <c r="AI5" s="29">
        <f>Assumptions!$B$23*(1+Assumptions!$B$24)^(AI3-1)/12</f>
        <v>0.90618541666666663</v>
      </c>
      <c r="AJ5" s="29">
        <f>Assumptions!$B$23*(1+Assumptions!$B$24)^(AJ3-1)/12</f>
        <v>0.90618541666666663</v>
      </c>
      <c r="AK5" s="29">
        <f>Assumptions!$B$23*(1+Assumptions!$B$24)^(AK3-1)/12</f>
        <v>0.90618541666666663</v>
      </c>
      <c r="AL5" s="29">
        <f>Assumptions!$B$23*(1+Assumptions!$B$24)^(AL3-1)/12</f>
        <v>0.90618541666666663</v>
      </c>
      <c r="AM5" s="29">
        <f>Assumptions!$B$23*(1+Assumptions!$B$24)^(AM3-1)/12</f>
        <v>0.93337097916666656</v>
      </c>
      <c r="AN5" s="29">
        <f>Assumptions!$B$23*(1+Assumptions!$B$24)^(AN3-1)/12</f>
        <v>0.93337097916666656</v>
      </c>
      <c r="AO5" s="29">
        <f>Assumptions!$B$23*(1+Assumptions!$B$24)^(AO3-1)/12</f>
        <v>0.93337097916666656</v>
      </c>
      <c r="AP5" s="29">
        <f>Assumptions!$B$23*(1+Assumptions!$B$24)^(AP3-1)/12</f>
        <v>0.93337097916666656</v>
      </c>
      <c r="AQ5" s="29">
        <f>Assumptions!$B$23*(1+Assumptions!$B$24)^(AQ3-1)/12</f>
        <v>0.93337097916666656</v>
      </c>
      <c r="AR5" s="29">
        <f>Assumptions!$B$23*(1+Assumptions!$B$24)^(AR3-1)/12</f>
        <v>0.93337097916666656</v>
      </c>
      <c r="AS5" s="29">
        <f>Assumptions!$B$23*(1+Assumptions!$B$24)^(AS3-1)/12</f>
        <v>0.93337097916666656</v>
      </c>
      <c r="AT5" s="29">
        <f>Assumptions!$B$23*(1+Assumptions!$B$24)^(AT3-1)/12</f>
        <v>0.93337097916666656</v>
      </c>
      <c r="AU5" s="29">
        <f>Assumptions!$B$23*(1+Assumptions!$B$24)^(AU3-1)/12</f>
        <v>0.93337097916666656</v>
      </c>
      <c r="AV5" s="29">
        <f>Assumptions!$B$23*(1+Assumptions!$B$24)^(AV3-1)/12</f>
        <v>0.93337097916666656</v>
      </c>
      <c r="AW5" s="29">
        <f>Assumptions!$B$23*(1+Assumptions!$B$24)^(AW3-1)/12</f>
        <v>0.93337097916666656</v>
      </c>
      <c r="AX5" s="29">
        <f>Assumptions!$B$23*(1+Assumptions!$B$24)^(AX3-1)/12</f>
        <v>0.93337097916666656</v>
      </c>
      <c r="AY5" s="29">
        <f>Assumptions!$B$23*(1+Assumptions!$B$24)^(AY3-1)/12</f>
        <v>0.96137210854166666</v>
      </c>
      <c r="AZ5" s="29">
        <f>Assumptions!$B$23*(1+Assumptions!$B$24)^(AZ3-1)/12</f>
        <v>0.96137210854166666</v>
      </c>
      <c r="BA5" s="29">
        <f>Assumptions!$B$23*(1+Assumptions!$B$24)^(BA3-1)/12</f>
        <v>0.96137210854166666</v>
      </c>
      <c r="BB5" s="29">
        <f>Assumptions!$B$23*(1+Assumptions!$B$24)^(BB3-1)/12</f>
        <v>0.96137210854166666</v>
      </c>
      <c r="BC5" s="29">
        <f>Assumptions!$B$23*(1+Assumptions!$B$24)^(BC3-1)/12</f>
        <v>0.96137210854166666</v>
      </c>
      <c r="BD5" s="29">
        <f>Assumptions!$B$23*(1+Assumptions!$B$24)^(BD3-1)/12</f>
        <v>0.96137210854166666</v>
      </c>
      <c r="BE5" s="29">
        <f>Assumptions!$B$23*(1+Assumptions!$B$24)^(BE3-1)/12</f>
        <v>0.96137210854166666</v>
      </c>
      <c r="BF5" s="29">
        <f>Assumptions!$B$23*(1+Assumptions!$B$24)^(BF3-1)/12</f>
        <v>0.96137210854166666</v>
      </c>
      <c r="BG5" s="29">
        <f>Assumptions!$B$23*(1+Assumptions!$B$24)^(BG3-1)/12</f>
        <v>0.96137210854166666</v>
      </c>
      <c r="BH5" s="29">
        <f>Assumptions!$B$23*(1+Assumptions!$B$24)^(BH3-1)/12</f>
        <v>0.96137210854166666</v>
      </c>
      <c r="BI5" s="29">
        <f>Assumptions!$B$23*(1+Assumptions!$B$24)^(BI3-1)/12</f>
        <v>0.96137210854166666</v>
      </c>
      <c r="BJ5" s="29">
        <f>Assumptions!$B$23*(1+Assumptions!$B$24)^(BJ3-1)/12</f>
        <v>0.96137210854166666</v>
      </c>
      <c r="BK5" s="29">
        <f>Assumptions!$B$23*(1+Assumptions!$B$24)^(BK3-1)/12</f>
        <v>0.99021327179791652</v>
      </c>
      <c r="BL5" s="29">
        <f>Assumptions!$B$23*(1+Assumptions!$B$24)^(BL3-1)/12</f>
        <v>0.99021327179791652</v>
      </c>
      <c r="BM5" s="29">
        <f>Assumptions!$B$23*(1+Assumptions!$B$24)^(BM3-1)/12</f>
        <v>0.99021327179791652</v>
      </c>
      <c r="BN5" s="29">
        <f>Assumptions!$B$23*(1+Assumptions!$B$24)^(BN3-1)/12</f>
        <v>0.99021327179791652</v>
      </c>
      <c r="BO5" s="29">
        <f>Assumptions!$B$23*(1+Assumptions!$B$24)^(BO3-1)/12</f>
        <v>0.99021327179791652</v>
      </c>
      <c r="BP5" s="29">
        <f>Assumptions!$B$23*(1+Assumptions!$B$24)^(BP3-1)/12</f>
        <v>0.99021327179791652</v>
      </c>
      <c r="BQ5" s="29">
        <f>Assumptions!$B$23*(1+Assumptions!$B$24)^(BQ3-1)/12</f>
        <v>0.99021327179791652</v>
      </c>
      <c r="BR5" s="29">
        <f>Assumptions!$B$23*(1+Assumptions!$B$24)^(BR3-1)/12</f>
        <v>0.99021327179791652</v>
      </c>
      <c r="BS5" s="29">
        <f>Assumptions!$B$23*(1+Assumptions!$B$24)^(BS3-1)/12</f>
        <v>0.99021327179791652</v>
      </c>
      <c r="BT5" s="29">
        <f>Assumptions!$B$23*(1+Assumptions!$B$24)^(BT3-1)/12</f>
        <v>0.99021327179791652</v>
      </c>
      <c r="BU5" s="29">
        <f>Assumptions!$B$23*(1+Assumptions!$B$24)^(BU3-1)/12</f>
        <v>0.99021327179791652</v>
      </c>
      <c r="BV5" s="29">
        <f>Assumptions!$B$23*(1+Assumptions!$B$24)^(BV3-1)/12</f>
        <v>0.99021327179791652</v>
      </c>
      <c r="BW5" s="29">
        <f>Assumptions!$B$23*(1+Assumptions!$B$24)^(BW3-1)/12</f>
        <v>1.019919669951854</v>
      </c>
      <c r="BX5" s="29">
        <f>Assumptions!$B$23*(1+Assumptions!$B$24)^(BX3-1)/12</f>
        <v>1.019919669951854</v>
      </c>
      <c r="BY5" s="29">
        <f>Assumptions!$B$23*(1+Assumptions!$B$24)^(BY3-1)/12</f>
        <v>1.019919669951854</v>
      </c>
      <c r="BZ5" s="29">
        <f>Assumptions!$B$23*(1+Assumptions!$B$24)^(BZ3-1)/12</f>
        <v>1.019919669951854</v>
      </c>
      <c r="CA5" s="29">
        <f>Assumptions!$B$23*(1+Assumptions!$B$24)^(CA3-1)/12</f>
        <v>1.019919669951854</v>
      </c>
      <c r="CB5" s="29">
        <f>Assumptions!$B$23*(1+Assumptions!$B$24)^(CB3-1)/12</f>
        <v>1.019919669951854</v>
      </c>
      <c r="CC5" s="29">
        <f>Assumptions!$B$23*(1+Assumptions!$B$24)^(CC3-1)/12</f>
        <v>1.019919669951854</v>
      </c>
      <c r="CD5" s="29">
        <f>Assumptions!$B$23*(1+Assumptions!$B$24)^(CD3-1)/12</f>
        <v>1.019919669951854</v>
      </c>
      <c r="CE5" s="29">
        <f>Assumptions!$B$23*(1+Assumptions!$B$24)^(CE3-1)/12</f>
        <v>1.019919669951854</v>
      </c>
      <c r="CF5" s="29">
        <f>Assumptions!$B$23*(1+Assumptions!$B$24)^(CF3-1)/12</f>
        <v>1.019919669951854</v>
      </c>
      <c r="CG5" s="29">
        <f>Assumptions!$B$23*(1+Assumptions!$B$24)^(CG3-1)/12</f>
        <v>1.019919669951854</v>
      </c>
      <c r="CH5" s="29">
        <f>Assumptions!$B$23*(1+Assumptions!$B$24)^(CH3-1)/12</f>
        <v>1.019919669951854</v>
      </c>
      <c r="CI5" s="29">
        <f>Assumptions!$B$23*(1+Assumptions!$B$24)^(CI3-1)/12</f>
        <v>1.0505172600504098</v>
      </c>
      <c r="CJ5" s="29">
        <f>Assumptions!$B$23*(1+Assumptions!$B$24)^(CJ3-1)/12</f>
        <v>1.0505172600504098</v>
      </c>
      <c r="CK5" s="29">
        <f>Assumptions!$B$23*(1+Assumptions!$B$24)^(CK3-1)/12</f>
        <v>1.0505172600504098</v>
      </c>
      <c r="CL5" s="29">
        <f>Assumptions!$B$23*(1+Assumptions!$B$24)^(CL3-1)/12</f>
        <v>1.0505172600504098</v>
      </c>
      <c r="CM5" s="29">
        <f>Assumptions!$B$23*(1+Assumptions!$B$24)^(CM3-1)/12</f>
        <v>1.0505172600504098</v>
      </c>
      <c r="CN5" s="29">
        <f>Assumptions!$B$23*(1+Assumptions!$B$24)^(CN3-1)/12</f>
        <v>1.0505172600504098</v>
      </c>
      <c r="CO5" s="29">
        <f>Assumptions!$B$23*(1+Assumptions!$B$24)^(CO3-1)/12</f>
        <v>1.0505172600504098</v>
      </c>
      <c r="CP5" s="29">
        <f>Assumptions!$B$23*(1+Assumptions!$B$24)^(CP3-1)/12</f>
        <v>1.0505172600504098</v>
      </c>
      <c r="CQ5" s="29">
        <f>Assumptions!$B$23*(1+Assumptions!$B$24)^(CQ3-1)/12</f>
        <v>1.0505172600504098</v>
      </c>
      <c r="CR5" s="29">
        <f>Assumptions!$B$23*(1+Assumptions!$B$24)^(CR3-1)/12</f>
        <v>1.0505172600504098</v>
      </c>
      <c r="CS5" s="29">
        <f>Assumptions!$B$23*(1+Assumptions!$B$24)^(CS3-1)/12</f>
        <v>1.0505172600504098</v>
      </c>
      <c r="CT5" s="29">
        <f>Assumptions!$B$23*(1+Assumptions!$B$24)^(CT3-1)/12</f>
        <v>1.0505172600504098</v>
      </c>
      <c r="CU5" s="29">
        <f>Assumptions!$B$23*(1+Assumptions!$B$24)^(CU3-1)/12</f>
        <v>1.0820327778519221</v>
      </c>
      <c r="CV5" s="29">
        <f>Assumptions!$B$23*(1+Assumptions!$B$24)^(CV3-1)/12</f>
        <v>1.0820327778519221</v>
      </c>
      <c r="CW5" s="29">
        <f>Assumptions!$B$23*(1+Assumptions!$B$24)^(CW3-1)/12</f>
        <v>1.0820327778519221</v>
      </c>
      <c r="CX5" s="29">
        <f>Assumptions!$B$23*(1+Assumptions!$B$24)^(CX3-1)/12</f>
        <v>1.0820327778519221</v>
      </c>
      <c r="CY5" s="29">
        <f>Assumptions!$B$23*(1+Assumptions!$B$24)^(CY3-1)/12</f>
        <v>1.0820327778519221</v>
      </c>
      <c r="CZ5" s="29">
        <f>Assumptions!$B$23*(1+Assumptions!$B$24)^(CZ3-1)/12</f>
        <v>1.0820327778519221</v>
      </c>
      <c r="DA5" s="29">
        <f>Assumptions!$B$23*(1+Assumptions!$B$24)^(DA3-1)/12</f>
        <v>1.0820327778519221</v>
      </c>
      <c r="DB5" s="29">
        <f>Assumptions!$B$23*(1+Assumptions!$B$24)^(DB3-1)/12</f>
        <v>1.0820327778519221</v>
      </c>
      <c r="DC5" s="29">
        <f>Assumptions!$B$23*(1+Assumptions!$B$24)^(DC3-1)/12</f>
        <v>1.0820327778519221</v>
      </c>
      <c r="DD5" s="29">
        <f>Assumptions!$B$23*(1+Assumptions!$B$24)^(DD3-1)/12</f>
        <v>1.0820327778519221</v>
      </c>
      <c r="DE5" s="29">
        <f>Assumptions!$B$23*(1+Assumptions!$B$24)^(DE3-1)/12</f>
        <v>1.0820327778519221</v>
      </c>
      <c r="DF5" s="29">
        <f>Assumptions!$B$23*(1+Assumptions!$B$24)^(DF3-1)/12</f>
        <v>1.0820327778519221</v>
      </c>
      <c r="DG5" s="29">
        <f>Assumptions!$B$23*(1+Assumptions!$B$24)^(DG3-1)/12</f>
        <v>1.1144937611874797</v>
      </c>
      <c r="DH5" s="29">
        <f>Assumptions!$B$23*(1+Assumptions!$B$24)^(DH3-1)/12</f>
        <v>1.1144937611874797</v>
      </c>
      <c r="DI5" s="29">
        <f>Assumptions!$B$23*(1+Assumptions!$B$24)^(DI3-1)/12</f>
        <v>1.1144937611874797</v>
      </c>
      <c r="DJ5" s="29">
        <f>Assumptions!$B$23*(1+Assumptions!$B$24)^(DJ3-1)/12</f>
        <v>1.1144937611874797</v>
      </c>
      <c r="DK5" s="29">
        <f>Assumptions!$B$23*(1+Assumptions!$B$24)^(DK3-1)/12</f>
        <v>1.1144937611874797</v>
      </c>
      <c r="DL5" s="29">
        <f>Assumptions!$B$23*(1+Assumptions!$B$24)^(DL3-1)/12</f>
        <v>1.1144937611874797</v>
      </c>
      <c r="DM5" s="29">
        <f>Assumptions!$B$23*(1+Assumptions!$B$24)^(DM3-1)/12</f>
        <v>1.1144937611874797</v>
      </c>
      <c r="DN5" s="29">
        <f>Assumptions!$B$23*(1+Assumptions!$B$24)^(DN3-1)/12</f>
        <v>1.1144937611874797</v>
      </c>
      <c r="DO5" s="29">
        <f>Assumptions!$B$23*(1+Assumptions!$B$24)^(DO3-1)/12</f>
        <v>1.1144937611874797</v>
      </c>
      <c r="DP5" s="29">
        <f>Assumptions!$B$23*(1+Assumptions!$B$24)^(DP3-1)/12</f>
        <v>1.1144937611874797</v>
      </c>
      <c r="DQ5" s="29">
        <f>Assumptions!$B$23*(1+Assumptions!$B$24)^(DQ3-1)/12</f>
        <v>1.1144937611874797</v>
      </c>
      <c r="DR5" s="29">
        <f>Assumptions!$B$23*(1+Assumptions!$B$24)^(DR3-1)/12</f>
        <v>1.1144937611874797</v>
      </c>
    </row>
    <row r="6" spans="1:122" x14ac:dyDescent="0.2">
      <c r="A6" s="9" t="s">
        <v>79</v>
      </c>
      <c r="C6" s="30">
        <f>SUMPRODUCT((Assumptions!$C$4:$C$9&lt;=C2)*Assumptions!$B$4:$B$9)</f>
        <v>175000</v>
      </c>
      <c r="D6" s="30">
        <f>SUMPRODUCT((Assumptions!$C$4:$C$9&lt;=D2)*Assumptions!$B$4:$B$9)</f>
        <v>175000</v>
      </c>
      <c r="E6" s="30">
        <f>SUMPRODUCT((Assumptions!$C$4:$C$9&lt;=E2)*Assumptions!$B$4:$B$9)</f>
        <v>175000</v>
      </c>
      <c r="F6" s="30">
        <f>SUMPRODUCT((Assumptions!$C$4:$C$9&lt;=F2)*Assumptions!$B$4:$B$9)</f>
        <v>175000</v>
      </c>
      <c r="G6" s="30">
        <f>SUMPRODUCT((Assumptions!$C$4:$C$9&lt;=G2)*Assumptions!$B$4:$B$9)</f>
        <v>175000</v>
      </c>
      <c r="H6" s="30">
        <f>SUMPRODUCT((Assumptions!$C$4:$C$9&lt;=H2)*Assumptions!$B$4:$B$9)</f>
        <v>175000</v>
      </c>
      <c r="I6" s="30">
        <f>SUMPRODUCT((Assumptions!$C$4:$C$9&lt;=I2)*Assumptions!$B$4:$B$9)</f>
        <v>175000</v>
      </c>
      <c r="J6" s="30">
        <f>SUMPRODUCT((Assumptions!$C$4:$C$9&lt;=J2)*Assumptions!$B$4:$B$9)</f>
        <v>175000</v>
      </c>
      <c r="K6" s="30">
        <f>SUMPRODUCT((Assumptions!$C$4:$C$9&lt;=K2)*Assumptions!$B$4:$B$9)</f>
        <v>175000</v>
      </c>
      <c r="L6" s="30">
        <f>SUMPRODUCT((Assumptions!$C$4:$C$9&lt;=L2)*Assumptions!$B$4:$B$9)</f>
        <v>175000</v>
      </c>
      <c r="M6" s="30">
        <f>SUMPRODUCT((Assumptions!$C$4:$C$9&lt;=M2)*Assumptions!$B$4:$B$9)</f>
        <v>175000</v>
      </c>
      <c r="N6" s="30">
        <f>SUMPRODUCT((Assumptions!$C$4:$C$9&lt;=N2)*Assumptions!$B$4:$B$9)</f>
        <v>175000</v>
      </c>
      <c r="O6" s="30">
        <f>SUMPRODUCT((Assumptions!$C$4:$C$9&lt;=O2)*Assumptions!$B$4:$B$9)</f>
        <v>175000</v>
      </c>
      <c r="P6" s="30">
        <f>SUMPRODUCT((Assumptions!$C$4:$C$9&lt;=P2)*Assumptions!$B$4:$B$9)</f>
        <v>175000</v>
      </c>
      <c r="Q6" s="30">
        <f>SUMPRODUCT((Assumptions!$C$4:$C$9&lt;=Q2)*Assumptions!$B$4:$B$9)</f>
        <v>175000</v>
      </c>
      <c r="R6" s="30">
        <f>SUMPRODUCT((Assumptions!$C$4:$C$9&lt;=R2)*Assumptions!$B$4:$B$9)</f>
        <v>175000</v>
      </c>
      <c r="S6" s="30">
        <f>SUMPRODUCT((Assumptions!$C$4:$C$9&lt;=S2)*Assumptions!$B$4:$B$9)</f>
        <v>175000</v>
      </c>
      <c r="T6" s="30">
        <f>SUMPRODUCT((Assumptions!$C$4:$C$9&lt;=T2)*Assumptions!$B$4:$B$9)</f>
        <v>175000</v>
      </c>
      <c r="U6" s="30">
        <f>SUMPRODUCT((Assumptions!$C$4:$C$9&lt;=U2)*Assumptions!$B$4:$B$9)</f>
        <v>175000</v>
      </c>
      <c r="V6" s="30">
        <f>SUMPRODUCT((Assumptions!$C$4:$C$9&lt;=V2)*Assumptions!$B$4:$B$9)</f>
        <v>175000</v>
      </c>
      <c r="W6" s="30">
        <f>SUMPRODUCT((Assumptions!$C$4:$C$9&lt;=W2)*Assumptions!$B$4:$B$9)</f>
        <v>175000</v>
      </c>
      <c r="X6" s="30">
        <f>SUMPRODUCT((Assumptions!$C$4:$C$9&lt;=X2)*Assumptions!$B$4:$B$9)</f>
        <v>175000</v>
      </c>
      <c r="Y6" s="30">
        <f>SUMPRODUCT((Assumptions!$C$4:$C$9&lt;=Y2)*Assumptions!$B$4:$B$9)</f>
        <v>175000</v>
      </c>
      <c r="Z6" s="30">
        <f>SUMPRODUCT((Assumptions!$C$4:$C$9&lt;=Z2)*Assumptions!$B$4:$B$9)</f>
        <v>175000</v>
      </c>
      <c r="AA6" s="30">
        <f>SUMPRODUCT((Assumptions!$C$4:$C$9&lt;=AA2)*Assumptions!$B$4:$B$9)</f>
        <v>350000</v>
      </c>
      <c r="AB6" s="30">
        <f>SUMPRODUCT((Assumptions!$C$4:$C$9&lt;=AB2)*Assumptions!$B$4:$B$9)</f>
        <v>350000</v>
      </c>
      <c r="AC6" s="30">
        <f>SUMPRODUCT((Assumptions!$C$4:$C$9&lt;=AC2)*Assumptions!$B$4:$B$9)</f>
        <v>350000</v>
      </c>
      <c r="AD6" s="30">
        <f>SUMPRODUCT((Assumptions!$C$4:$C$9&lt;=AD2)*Assumptions!$B$4:$B$9)</f>
        <v>350000</v>
      </c>
      <c r="AE6" s="30">
        <f>SUMPRODUCT((Assumptions!$C$4:$C$9&lt;=AE2)*Assumptions!$B$4:$B$9)</f>
        <v>350000</v>
      </c>
      <c r="AF6" s="30">
        <f>SUMPRODUCT((Assumptions!$C$4:$C$9&lt;=AF2)*Assumptions!$B$4:$B$9)</f>
        <v>350000</v>
      </c>
      <c r="AG6" s="30">
        <f>SUMPRODUCT((Assumptions!$C$4:$C$9&lt;=AG2)*Assumptions!$B$4:$B$9)</f>
        <v>350000</v>
      </c>
      <c r="AH6" s="30">
        <f>SUMPRODUCT((Assumptions!$C$4:$C$9&lt;=AH2)*Assumptions!$B$4:$B$9)</f>
        <v>350000</v>
      </c>
      <c r="AI6" s="30">
        <f>SUMPRODUCT((Assumptions!$C$4:$C$9&lt;=AI2)*Assumptions!$B$4:$B$9)</f>
        <v>350000</v>
      </c>
      <c r="AJ6" s="30">
        <f>SUMPRODUCT((Assumptions!$C$4:$C$9&lt;=AJ2)*Assumptions!$B$4:$B$9)</f>
        <v>350000</v>
      </c>
      <c r="AK6" s="30">
        <f>SUMPRODUCT((Assumptions!$C$4:$C$9&lt;=AK2)*Assumptions!$B$4:$B$9)</f>
        <v>350000</v>
      </c>
      <c r="AL6" s="30">
        <f>SUMPRODUCT((Assumptions!$C$4:$C$9&lt;=AL2)*Assumptions!$B$4:$B$9)</f>
        <v>350000</v>
      </c>
      <c r="AM6" s="30">
        <f>SUMPRODUCT((Assumptions!$C$4:$C$9&lt;=AM2)*Assumptions!$B$4:$B$9)</f>
        <v>500000</v>
      </c>
      <c r="AN6" s="30">
        <f>SUMPRODUCT((Assumptions!$C$4:$C$9&lt;=AN2)*Assumptions!$B$4:$B$9)</f>
        <v>500000</v>
      </c>
      <c r="AO6" s="30">
        <f>SUMPRODUCT((Assumptions!$C$4:$C$9&lt;=AO2)*Assumptions!$B$4:$B$9)</f>
        <v>500000</v>
      </c>
      <c r="AP6" s="30">
        <f>SUMPRODUCT((Assumptions!$C$4:$C$9&lt;=AP2)*Assumptions!$B$4:$B$9)</f>
        <v>500000</v>
      </c>
      <c r="AQ6" s="30">
        <f>SUMPRODUCT((Assumptions!$C$4:$C$9&lt;=AQ2)*Assumptions!$B$4:$B$9)</f>
        <v>500000</v>
      </c>
      <c r="AR6" s="30">
        <f>SUMPRODUCT((Assumptions!$C$4:$C$9&lt;=AR2)*Assumptions!$B$4:$B$9)</f>
        <v>500000</v>
      </c>
      <c r="AS6" s="30">
        <f>SUMPRODUCT((Assumptions!$C$4:$C$9&lt;=AS2)*Assumptions!$B$4:$B$9)</f>
        <v>500000</v>
      </c>
      <c r="AT6" s="30">
        <f>SUMPRODUCT((Assumptions!$C$4:$C$9&lt;=AT2)*Assumptions!$B$4:$B$9)</f>
        <v>500000</v>
      </c>
      <c r="AU6" s="30">
        <f>SUMPRODUCT((Assumptions!$C$4:$C$9&lt;=AU2)*Assumptions!$B$4:$B$9)</f>
        <v>500000</v>
      </c>
      <c r="AV6" s="30">
        <f>SUMPRODUCT((Assumptions!$C$4:$C$9&lt;=AV2)*Assumptions!$B$4:$B$9)</f>
        <v>500000</v>
      </c>
      <c r="AW6" s="30">
        <f>SUMPRODUCT((Assumptions!$C$4:$C$9&lt;=AW2)*Assumptions!$B$4:$B$9)</f>
        <v>500000</v>
      </c>
      <c r="AX6" s="30">
        <f>SUMPRODUCT((Assumptions!$C$4:$C$9&lt;=AX2)*Assumptions!$B$4:$B$9)</f>
        <v>500000</v>
      </c>
      <c r="AY6" s="30">
        <f>SUMPRODUCT((Assumptions!$C$4:$C$9&lt;=AY2)*Assumptions!$B$4:$B$9)</f>
        <v>750000</v>
      </c>
      <c r="AZ6" s="30">
        <f>SUMPRODUCT((Assumptions!$C$4:$C$9&lt;=AZ2)*Assumptions!$B$4:$B$9)</f>
        <v>750000</v>
      </c>
      <c r="BA6" s="30">
        <f>SUMPRODUCT((Assumptions!$C$4:$C$9&lt;=BA2)*Assumptions!$B$4:$B$9)</f>
        <v>750000</v>
      </c>
      <c r="BB6" s="30">
        <f>SUMPRODUCT((Assumptions!$C$4:$C$9&lt;=BB2)*Assumptions!$B$4:$B$9)</f>
        <v>750000</v>
      </c>
      <c r="BC6" s="30">
        <f>SUMPRODUCT((Assumptions!$C$4:$C$9&lt;=BC2)*Assumptions!$B$4:$B$9)</f>
        <v>750000</v>
      </c>
      <c r="BD6" s="30">
        <f>SUMPRODUCT((Assumptions!$C$4:$C$9&lt;=BD2)*Assumptions!$B$4:$B$9)</f>
        <v>750000</v>
      </c>
      <c r="BE6" s="30">
        <f>SUMPRODUCT((Assumptions!$C$4:$C$9&lt;=BE2)*Assumptions!$B$4:$B$9)</f>
        <v>750000</v>
      </c>
      <c r="BF6" s="30">
        <f>SUMPRODUCT((Assumptions!$C$4:$C$9&lt;=BF2)*Assumptions!$B$4:$B$9)</f>
        <v>750000</v>
      </c>
      <c r="BG6" s="30">
        <f>SUMPRODUCT((Assumptions!$C$4:$C$9&lt;=BG2)*Assumptions!$B$4:$B$9)</f>
        <v>750000</v>
      </c>
      <c r="BH6" s="30">
        <f>SUMPRODUCT((Assumptions!$C$4:$C$9&lt;=BH2)*Assumptions!$B$4:$B$9)</f>
        <v>750000</v>
      </c>
      <c r="BI6" s="30">
        <f>SUMPRODUCT((Assumptions!$C$4:$C$9&lt;=BI2)*Assumptions!$B$4:$B$9)</f>
        <v>750000</v>
      </c>
      <c r="BJ6" s="30">
        <f>SUMPRODUCT((Assumptions!$C$4:$C$9&lt;=BJ2)*Assumptions!$B$4:$B$9)</f>
        <v>750000</v>
      </c>
      <c r="BK6" s="30">
        <f>SUMPRODUCT((Assumptions!$C$4:$C$9&lt;=BK2)*Assumptions!$B$4:$B$9)</f>
        <v>1000000</v>
      </c>
      <c r="BL6" s="30">
        <f>SUMPRODUCT((Assumptions!$C$4:$C$9&lt;=BL2)*Assumptions!$B$4:$B$9)</f>
        <v>1000000</v>
      </c>
      <c r="BM6" s="30">
        <f>SUMPRODUCT((Assumptions!$C$4:$C$9&lt;=BM2)*Assumptions!$B$4:$B$9)</f>
        <v>1000000</v>
      </c>
      <c r="BN6" s="30">
        <f>SUMPRODUCT((Assumptions!$C$4:$C$9&lt;=BN2)*Assumptions!$B$4:$B$9)</f>
        <v>1000000</v>
      </c>
      <c r="BO6" s="30">
        <f>SUMPRODUCT((Assumptions!$C$4:$C$9&lt;=BO2)*Assumptions!$B$4:$B$9)</f>
        <v>1000000</v>
      </c>
      <c r="BP6" s="30">
        <f>SUMPRODUCT((Assumptions!$C$4:$C$9&lt;=BP2)*Assumptions!$B$4:$B$9)</f>
        <v>1000000</v>
      </c>
      <c r="BQ6" s="30">
        <f>SUMPRODUCT((Assumptions!$C$4:$C$9&lt;=BQ2)*Assumptions!$B$4:$B$9)</f>
        <v>1000000</v>
      </c>
      <c r="BR6" s="30">
        <f>SUMPRODUCT((Assumptions!$C$4:$C$9&lt;=BR2)*Assumptions!$B$4:$B$9)</f>
        <v>1000000</v>
      </c>
      <c r="BS6" s="30">
        <f>SUMPRODUCT((Assumptions!$C$4:$C$9&lt;=BS2)*Assumptions!$B$4:$B$9)</f>
        <v>1000000</v>
      </c>
      <c r="BT6" s="30">
        <f>SUMPRODUCT((Assumptions!$C$4:$C$9&lt;=BT2)*Assumptions!$B$4:$B$9)</f>
        <v>1000000</v>
      </c>
      <c r="BU6" s="30">
        <f>SUMPRODUCT((Assumptions!$C$4:$C$9&lt;=BU2)*Assumptions!$B$4:$B$9)</f>
        <v>1000000</v>
      </c>
      <c r="BV6" s="30">
        <f>SUMPRODUCT((Assumptions!$C$4:$C$9&lt;=BV2)*Assumptions!$B$4:$B$9)</f>
        <v>1000000</v>
      </c>
      <c r="BW6" s="30">
        <f>SUMPRODUCT((Assumptions!$C$4:$C$9&lt;=BW2)*Assumptions!$B$4:$B$9)</f>
        <v>1250000</v>
      </c>
      <c r="BX6" s="30">
        <f>SUMPRODUCT((Assumptions!$C$4:$C$9&lt;=BX2)*Assumptions!$B$4:$B$9)</f>
        <v>1250000</v>
      </c>
      <c r="BY6" s="30">
        <f>SUMPRODUCT((Assumptions!$C$4:$C$9&lt;=BY2)*Assumptions!$B$4:$B$9)</f>
        <v>1250000</v>
      </c>
      <c r="BZ6" s="30">
        <f>SUMPRODUCT((Assumptions!$C$4:$C$9&lt;=BZ2)*Assumptions!$B$4:$B$9)</f>
        <v>1250000</v>
      </c>
      <c r="CA6" s="30">
        <f>SUMPRODUCT((Assumptions!$C$4:$C$9&lt;=CA2)*Assumptions!$B$4:$B$9)</f>
        <v>1250000</v>
      </c>
      <c r="CB6" s="30">
        <f>SUMPRODUCT((Assumptions!$C$4:$C$9&lt;=CB2)*Assumptions!$B$4:$B$9)</f>
        <v>1250000</v>
      </c>
      <c r="CC6" s="30">
        <f>SUMPRODUCT((Assumptions!$C$4:$C$9&lt;=CC2)*Assumptions!$B$4:$B$9)</f>
        <v>1250000</v>
      </c>
      <c r="CD6" s="30">
        <f>SUMPRODUCT((Assumptions!$C$4:$C$9&lt;=CD2)*Assumptions!$B$4:$B$9)</f>
        <v>1250000</v>
      </c>
      <c r="CE6" s="30">
        <f>SUMPRODUCT((Assumptions!$C$4:$C$9&lt;=CE2)*Assumptions!$B$4:$B$9)</f>
        <v>1250000</v>
      </c>
      <c r="CF6" s="30">
        <f>SUMPRODUCT((Assumptions!$C$4:$C$9&lt;=CF2)*Assumptions!$B$4:$B$9)</f>
        <v>1250000</v>
      </c>
      <c r="CG6" s="30">
        <f>SUMPRODUCT((Assumptions!$C$4:$C$9&lt;=CG2)*Assumptions!$B$4:$B$9)</f>
        <v>1250000</v>
      </c>
      <c r="CH6" s="30">
        <f>SUMPRODUCT((Assumptions!$C$4:$C$9&lt;=CH2)*Assumptions!$B$4:$B$9)</f>
        <v>1250000</v>
      </c>
      <c r="CI6" s="30">
        <f>SUMPRODUCT((Assumptions!$C$4:$C$9&lt;=CI2)*Assumptions!$B$4:$B$9)</f>
        <v>1250000</v>
      </c>
      <c r="CJ6" s="30">
        <f>SUMPRODUCT((Assumptions!$C$4:$C$9&lt;=CJ2)*Assumptions!$B$4:$B$9)</f>
        <v>1250000</v>
      </c>
      <c r="CK6" s="30">
        <f>SUMPRODUCT((Assumptions!$C$4:$C$9&lt;=CK2)*Assumptions!$B$4:$B$9)</f>
        <v>1250000</v>
      </c>
      <c r="CL6" s="30">
        <f>SUMPRODUCT((Assumptions!$C$4:$C$9&lt;=CL2)*Assumptions!$B$4:$B$9)</f>
        <v>1250000</v>
      </c>
      <c r="CM6" s="30">
        <f>SUMPRODUCT((Assumptions!$C$4:$C$9&lt;=CM2)*Assumptions!$B$4:$B$9)</f>
        <v>1250000</v>
      </c>
      <c r="CN6" s="30">
        <f>SUMPRODUCT((Assumptions!$C$4:$C$9&lt;=CN2)*Assumptions!$B$4:$B$9)</f>
        <v>1250000</v>
      </c>
      <c r="CO6" s="30">
        <f>SUMPRODUCT((Assumptions!$C$4:$C$9&lt;=CO2)*Assumptions!$B$4:$B$9)</f>
        <v>1250000</v>
      </c>
      <c r="CP6" s="30">
        <f>SUMPRODUCT((Assumptions!$C$4:$C$9&lt;=CP2)*Assumptions!$B$4:$B$9)</f>
        <v>1250000</v>
      </c>
      <c r="CQ6" s="30">
        <f>SUMPRODUCT((Assumptions!$C$4:$C$9&lt;=CQ2)*Assumptions!$B$4:$B$9)</f>
        <v>1250000</v>
      </c>
      <c r="CR6" s="30">
        <f>SUMPRODUCT((Assumptions!$C$4:$C$9&lt;=CR2)*Assumptions!$B$4:$B$9)</f>
        <v>1250000</v>
      </c>
      <c r="CS6" s="30">
        <f>SUMPRODUCT((Assumptions!$C$4:$C$9&lt;=CS2)*Assumptions!$B$4:$B$9)</f>
        <v>1250000</v>
      </c>
      <c r="CT6" s="30">
        <f>SUMPRODUCT((Assumptions!$C$4:$C$9&lt;=CT2)*Assumptions!$B$4:$B$9)</f>
        <v>1250000</v>
      </c>
      <c r="CU6" s="30">
        <f>SUMPRODUCT((Assumptions!$C$4:$C$9&lt;=CU2)*Assumptions!$B$4:$B$9)</f>
        <v>1250000</v>
      </c>
      <c r="CV6" s="30">
        <f>SUMPRODUCT((Assumptions!$C$4:$C$9&lt;=CV2)*Assumptions!$B$4:$B$9)</f>
        <v>1250000</v>
      </c>
      <c r="CW6" s="30">
        <f>SUMPRODUCT((Assumptions!$C$4:$C$9&lt;=CW2)*Assumptions!$B$4:$B$9)</f>
        <v>1250000</v>
      </c>
      <c r="CX6" s="30">
        <f>SUMPRODUCT((Assumptions!$C$4:$C$9&lt;=CX2)*Assumptions!$B$4:$B$9)</f>
        <v>1250000</v>
      </c>
      <c r="CY6" s="30">
        <f>SUMPRODUCT((Assumptions!$C$4:$C$9&lt;=CY2)*Assumptions!$B$4:$B$9)</f>
        <v>1250000</v>
      </c>
      <c r="CZ6" s="30">
        <f>SUMPRODUCT((Assumptions!$C$4:$C$9&lt;=CZ2)*Assumptions!$B$4:$B$9)</f>
        <v>1250000</v>
      </c>
      <c r="DA6" s="30">
        <f>SUMPRODUCT((Assumptions!$C$4:$C$9&lt;=DA2)*Assumptions!$B$4:$B$9)</f>
        <v>1250000</v>
      </c>
      <c r="DB6" s="30">
        <f>SUMPRODUCT((Assumptions!$C$4:$C$9&lt;=DB2)*Assumptions!$B$4:$B$9)</f>
        <v>1250000</v>
      </c>
      <c r="DC6" s="30">
        <f>SUMPRODUCT((Assumptions!$C$4:$C$9&lt;=DC2)*Assumptions!$B$4:$B$9)</f>
        <v>1250000</v>
      </c>
      <c r="DD6" s="30">
        <f>SUMPRODUCT((Assumptions!$C$4:$C$9&lt;=DD2)*Assumptions!$B$4:$B$9)</f>
        <v>1250000</v>
      </c>
      <c r="DE6" s="30">
        <f>SUMPRODUCT((Assumptions!$C$4:$C$9&lt;=DE2)*Assumptions!$B$4:$B$9)</f>
        <v>1250000</v>
      </c>
      <c r="DF6" s="30">
        <f>SUMPRODUCT((Assumptions!$C$4:$C$9&lt;=DF2)*Assumptions!$B$4:$B$9)</f>
        <v>1250000</v>
      </c>
      <c r="DG6" s="30">
        <f>SUMPRODUCT((Assumptions!$C$4:$C$9&lt;=DG2)*Assumptions!$B$4:$B$9)</f>
        <v>1250000</v>
      </c>
      <c r="DH6" s="30">
        <f>SUMPRODUCT((Assumptions!$C$4:$C$9&lt;=DH2)*Assumptions!$B$4:$B$9)</f>
        <v>1250000</v>
      </c>
      <c r="DI6" s="30">
        <f>SUMPRODUCT((Assumptions!$C$4:$C$9&lt;=DI2)*Assumptions!$B$4:$B$9)</f>
        <v>1250000</v>
      </c>
      <c r="DJ6" s="30">
        <f>SUMPRODUCT((Assumptions!$C$4:$C$9&lt;=DJ2)*Assumptions!$B$4:$B$9)</f>
        <v>1250000</v>
      </c>
      <c r="DK6" s="30">
        <f>SUMPRODUCT((Assumptions!$C$4:$C$9&lt;=DK2)*Assumptions!$B$4:$B$9)</f>
        <v>1250000</v>
      </c>
      <c r="DL6" s="30">
        <f>SUMPRODUCT((Assumptions!$C$4:$C$9&lt;=DL2)*Assumptions!$B$4:$B$9)</f>
        <v>1250000</v>
      </c>
      <c r="DM6" s="30">
        <f>SUMPRODUCT((Assumptions!$C$4:$C$9&lt;=DM2)*Assumptions!$B$4:$B$9)</f>
        <v>1250000</v>
      </c>
      <c r="DN6" s="30">
        <f>SUMPRODUCT((Assumptions!$C$4:$C$9&lt;=DN2)*Assumptions!$B$4:$B$9)</f>
        <v>1250000</v>
      </c>
      <c r="DO6" s="30">
        <f>SUMPRODUCT((Assumptions!$C$4:$C$9&lt;=DO2)*Assumptions!$B$4:$B$9)</f>
        <v>1250000</v>
      </c>
      <c r="DP6" s="30">
        <f>SUMPRODUCT((Assumptions!$C$4:$C$9&lt;=DP2)*Assumptions!$B$4:$B$9)</f>
        <v>1250000</v>
      </c>
      <c r="DQ6" s="30">
        <f>SUMPRODUCT((Assumptions!$C$4:$C$9&lt;=DQ2)*Assumptions!$B$4:$B$9)</f>
        <v>1250000</v>
      </c>
      <c r="DR6" s="30">
        <f>SUMPRODUCT((Assumptions!$C$4:$C$9&lt;=DR2)*Assumptions!$B$4:$B$9)</f>
        <v>1250000</v>
      </c>
    </row>
    <row r="7" spans="1:122" x14ac:dyDescent="0.2">
      <c r="A7" s="31" t="s">
        <v>80</v>
      </c>
    </row>
    <row r="8" spans="1:122" x14ac:dyDescent="0.2">
      <c r="A8" s="9" t="s">
        <v>81</v>
      </c>
      <c r="C8" s="30">
        <f>IF((C$2-Assumptions!$C$4+1)&lt;1,0,Assumptions!$B$4*INDEX($C$4:$DR$4,1,C$2-Assumptions!$C$4+1))</f>
        <v>4375</v>
      </c>
      <c r="D8" s="30">
        <f>IF((D$2-Assumptions!$C$4+1)&lt;1,0,Assumptions!$B$4*INDEX($C$4:$DR$4,1,D$2-Assumptions!$C$4+1))</f>
        <v>8750</v>
      </c>
      <c r="E8" s="30">
        <f>IF((E$2-Assumptions!$C$4+1)&lt;1,0,Assumptions!$B$4*INDEX($C$4:$DR$4,1,E$2-Assumptions!$C$4+1))</f>
        <v>13125.000000000002</v>
      </c>
      <c r="F8" s="30">
        <f>IF((F$2-Assumptions!$C$4+1)&lt;1,0,Assumptions!$B$4*INDEX($C$4:$DR$4,1,F$2-Assumptions!$C$4+1))</f>
        <v>17500</v>
      </c>
      <c r="G8" s="30">
        <f>IF((G$2-Assumptions!$C$4+1)&lt;1,0,Assumptions!$B$4*INDEX($C$4:$DR$4,1,G$2-Assumptions!$C$4+1))</f>
        <v>21875</v>
      </c>
      <c r="H8" s="30">
        <f>IF((H$2-Assumptions!$C$4+1)&lt;1,0,Assumptions!$B$4*INDEX($C$4:$DR$4,1,H$2-Assumptions!$C$4+1))</f>
        <v>26250.000000000004</v>
      </c>
      <c r="I8" s="30">
        <f>IF((I$2-Assumptions!$C$4+1)&lt;1,0,Assumptions!$B$4*INDEX($C$4:$DR$4,1,I$2-Assumptions!$C$4+1))</f>
        <v>30624.999999999996</v>
      </c>
      <c r="J8" s="30">
        <f>IF((J$2-Assumptions!$C$4+1)&lt;1,0,Assumptions!$B$4*INDEX($C$4:$DR$4,1,J$2-Assumptions!$C$4+1))</f>
        <v>35000</v>
      </c>
      <c r="K8" s="30">
        <f>IF((K$2-Assumptions!$C$4+1)&lt;1,0,Assumptions!$B$4*INDEX($C$4:$DR$4,1,K$2-Assumptions!$C$4+1))</f>
        <v>39374.999999999993</v>
      </c>
      <c r="L8" s="30">
        <f>IF((L$2-Assumptions!$C$4+1)&lt;1,0,Assumptions!$B$4*INDEX($C$4:$DR$4,1,L$2-Assumptions!$C$4+1))</f>
        <v>43750</v>
      </c>
      <c r="M8" s="30">
        <f>IF((M$2-Assumptions!$C$4+1)&lt;1,0,Assumptions!$B$4*INDEX($C$4:$DR$4,1,M$2-Assumptions!$C$4+1))</f>
        <v>48125.000000000007</v>
      </c>
      <c r="N8" s="30">
        <f>IF((N$2-Assumptions!$C$4+1)&lt;1,0,Assumptions!$B$4*INDEX($C$4:$DR$4,1,N$2-Assumptions!$C$4+1))</f>
        <v>52500.000000000007</v>
      </c>
      <c r="O8" s="30">
        <f>IF((O$2-Assumptions!$C$4+1)&lt;1,0,Assumptions!$B$4*INDEX($C$4:$DR$4,1,O$2-Assumptions!$C$4+1))</f>
        <v>56875</v>
      </c>
      <c r="P8" s="30">
        <f>IF((P$2-Assumptions!$C$4+1)&lt;1,0,Assumptions!$B$4*INDEX($C$4:$DR$4,1,P$2-Assumptions!$C$4+1))</f>
        <v>61249.999999999993</v>
      </c>
      <c r="Q8" s="30">
        <f>IF((Q$2-Assumptions!$C$4+1)&lt;1,0,Assumptions!$B$4*INDEX($C$4:$DR$4,1,Q$2-Assumptions!$C$4+1))</f>
        <v>65625</v>
      </c>
      <c r="R8" s="30">
        <f>IF((R$2-Assumptions!$C$4+1)&lt;1,0,Assumptions!$B$4*INDEX($C$4:$DR$4,1,R$2-Assumptions!$C$4+1))</f>
        <v>70000</v>
      </c>
      <c r="S8" s="30">
        <f>IF((S$2-Assumptions!$C$4+1)&lt;1,0,Assumptions!$B$4*INDEX($C$4:$DR$4,1,S$2-Assumptions!$C$4+1))</f>
        <v>74375.000000000015</v>
      </c>
      <c r="T8" s="30">
        <f>IF((T$2-Assumptions!$C$4+1)&lt;1,0,Assumptions!$B$4*INDEX($C$4:$DR$4,1,T$2-Assumptions!$C$4+1))</f>
        <v>78749.999999999985</v>
      </c>
      <c r="U8" s="30">
        <f>IF((U$2-Assumptions!$C$4+1)&lt;1,0,Assumptions!$B$4*INDEX($C$4:$DR$4,1,U$2-Assumptions!$C$4+1))</f>
        <v>83125</v>
      </c>
      <c r="V8" s="30">
        <f>IF((V$2-Assumptions!$C$4+1)&lt;1,0,Assumptions!$B$4*INDEX($C$4:$DR$4,1,V$2-Assumptions!$C$4+1))</f>
        <v>87500</v>
      </c>
      <c r="W8" s="30">
        <f>IF((W$2-Assumptions!$C$4+1)&lt;1,0,Assumptions!$B$4*INDEX($C$4:$DR$4,1,W$2-Assumptions!$C$4+1))</f>
        <v>91875</v>
      </c>
      <c r="X8" s="30">
        <f>IF((X$2-Assumptions!$C$4+1)&lt;1,0,Assumptions!$B$4*INDEX($C$4:$DR$4,1,X$2-Assumptions!$C$4+1))</f>
        <v>96250.000000000015</v>
      </c>
      <c r="Y8" s="30">
        <f>IF((Y$2-Assumptions!$C$4+1)&lt;1,0,Assumptions!$B$4*INDEX($C$4:$DR$4,1,Y$2-Assumptions!$C$4+1))</f>
        <v>100624.99999999999</v>
      </c>
      <c r="Z8" s="30">
        <f>IF((Z$2-Assumptions!$C$4+1)&lt;1,0,Assumptions!$B$4*INDEX($C$4:$DR$4,1,Z$2-Assumptions!$C$4+1))</f>
        <v>105000.00000000001</v>
      </c>
      <c r="AA8" s="30">
        <f>IF((AA$2-Assumptions!$C$4+1)&lt;1,0,Assumptions!$B$4*INDEX($C$4:$DR$4,1,AA$2-Assumptions!$C$4+1))</f>
        <v>109375</v>
      </c>
      <c r="AB8" s="30">
        <f>IF((AB$2-Assumptions!$C$4+1)&lt;1,0,Assumptions!$B$4*INDEX($C$4:$DR$4,1,AB$2-Assumptions!$C$4+1))</f>
        <v>113750</v>
      </c>
      <c r="AC8" s="30">
        <f>IF((AC$2-Assumptions!$C$4+1)&lt;1,0,Assumptions!$B$4*INDEX($C$4:$DR$4,1,AC$2-Assumptions!$C$4+1))</f>
        <v>118125.00000000001</v>
      </c>
      <c r="AD8" s="30">
        <f>IF((AD$2-Assumptions!$C$4+1)&lt;1,0,Assumptions!$B$4*INDEX($C$4:$DR$4,1,AD$2-Assumptions!$C$4+1))</f>
        <v>122499.99999999999</v>
      </c>
      <c r="AE8" s="30">
        <f>IF((AE$2-Assumptions!$C$4+1)&lt;1,0,Assumptions!$B$4*INDEX($C$4:$DR$4,1,AE$2-Assumptions!$C$4+1))</f>
        <v>126875.00000000001</v>
      </c>
      <c r="AF8" s="30">
        <f>IF((AF$2-Assumptions!$C$4+1)&lt;1,0,Assumptions!$B$4*INDEX($C$4:$DR$4,1,AF$2-Assumptions!$C$4+1))</f>
        <v>131250</v>
      </c>
      <c r="AG8" s="30">
        <f>IF((AG$2-Assumptions!$C$4+1)&lt;1,0,Assumptions!$B$4*INDEX($C$4:$DR$4,1,AG$2-Assumptions!$C$4+1))</f>
        <v>135625</v>
      </c>
      <c r="AH8" s="30">
        <f>IF((AH$2-Assumptions!$C$4+1)&lt;1,0,Assumptions!$B$4*INDEX($C$4:$DR$4,1,AH$2-Assumptions!$C$4+1))</f>
        <v>140000</v>
      </c>
      <c r="AI8" s="30">
        <f>IF((AI$2-Assumptions!$C$4+1)&lt;1,0,Assumptions!$B$4*INDEX($C$4:$DR$4,1,AI$2-Assumptions!$C$4+1))</f>
        <v>144375</v>
      </c>
      <c r="AJ8" s="30">
        <f>IF((AJ$2-Assumptions!$C$4+1)&lt;1,0,Assumptions!$B$4*INDEX($C$4:$DR$4,1,AJ$2-Assumptions!$C$4+1))</f>
        <v>148750.00000000003</v>
      </c>
      <c r="AK8" s="30">
        <f>IF((AK$2-Assumptions!$C$4+1)&lt;1,0,Assumptions!$B$4*INDEX($C$4:$DR$4,1,AK$2-Assumptions!$C$4+1))</f>
        <v>153125</v>
      </c>
      <c r="AL8" s="30">
        <f>IF((AL$2-Assumptions!$C$4+1)&lt;1,0,Assumptions!$B$4*INDEX($C$4:$DR$4,1,AL$2-Assumptions!$C$4+1))</f>
        <v>157499.99999999997</v>
      </c>
      <c r="AM8" s="30">
        <f>IF((AM$2-Assumptions!$C$4+1)&lt;1,0,Assumptions!$B$4*INDEX($C$4:$DR$4,1,AM$2-Assumptions!$C$4+1))</f>
        <v>157500</v>
      </c>
      <c r="AN8" s="30">
        <f>IF((AN$2-Assumptions!$C$4+1)&lt;1,0,Assumptions!$B$4*INDEX($C$4:$DR$4,1,AN$2-Assumptions!$C$4+1))</f>
        <v>157500</v>
      </c>
      <c r="AO8" s="30">
        <f>IF((AO$2-Assumptions!$C$4+1)&lt;1,0,Assumptions!$B$4*INDEX($C$4:$DR$4,1,AO$2-Assumptions!$C$4+1))</f>
        <v>157500</v>
      </c>
      <c r="AP8" s="30">
        <f>IF((AP$2-Assumptions!$C$4+1)&lt;1,0,Assumptions!$B$4*INDEX($C$4:$DR$4,1,AP$2-Assumptions!$C$4+1))</f>
        <v>157500</v>
      </c>
      <c r="AQ8" s="30">
        <f>IF((AQ$2-Assumptions!$C$4+1)&lt;1,0,Assumptions!$B$4*INDEX($C$4:$DR$4,1,AQ$2-Assumptions!$C$4+1))</f>
        <v>157500</v>
      </c>
      <c r="AR8" s="30">
        <f>IF((AR$2-Assumptions!$C$4+1)&lt;1,0,Assumptions!$B$4*INDEX($C$4:$DR$4,1,AR$2-Assumptions!$C$4+1))</f>
        <v>157500</v>
      </c>
      <c r="AS8" s="30">
        <f>IF((AS$2-Assumptions!$C$4+1)&lt;1,0,Assumptions!$B$4*INDEX($C$4:$DR$4,1,AS$2-Assumptions!$C$4+1))</f>
        <v>157500</v>
      </c>
      <c r="AT8" s="30">
        <f>IF((AT$2-Assumptions!$C$4+1)&lt;1,0,Assumptions!$B$4*INDEX($C$4:$DR$4,1,AT$2-Assumptions!$C$4+1))</f>
        <v>157500</v>
      </c>
      <c r="AU8" s="30">
        <f>IF((AU$2-Assumptions!$C$4+1)&lt;1,0,Assumptions!$B$4*INDEX($C$4:$DR$4,1,AU$2-Assumptions!$C$4+1))</f>
        <v>157500</v>
      </c>
      <c r="AV8" s="30">
        <f>IF((AV$2-Assumptions!$C$4+1)&lt;1,0,Assumptions!$B$4*INDEX($C$4:$DR$4,1,AV$2-Assumptions!$C$4+1))</f>
        <v>157500</v>
      </c>
      <c r="AW8" s="30">
        <f>IF((AW$2-Assumptions!$C$4+1)&lt;1,0,Assumptions!$B$4*INDEX($C$4:$DR$4,1,AW$2-Assumptions!$C$4+1))</f>
        <v>157500</v>
      </c>
      <c r="AX8" s="30">
        <f>IF((AX$2-Assumptions!$C$4+1)&lt;1,0,Assumptions!$B$4*INDEX($C$4:$DR$4,1,AX$2-Assumptions!$C$4+1))</f>
        <v>157500</v>
      </c>
      <c r="AY8" s="30">
        <f>IF((AY$2-Assumptions!$C$4+1)&lt;1,0,Assumptions!$B$4*INDEX($C$4:$DR$4,1,AY$2-Assumptions!$C$4+1))</f>
        <v>157500</v>
      </c>
      <c r="AZ8" s="30">
        <f>IF((AZ$2-Assumptions!$C$4+1)&lt;1,0,Assumptions!$B$4*INDEX($C$4:$DR$4,1,AZ$2-Assumptions!$C$4+1))</f>
        <v>157500</v>
      </c>
      <c r="BA8" s="30">
        <f>IF((BA$2-Assumptions!$C$4+1)&lt;1,0,Assumptions!$B$4*INDEX($C$4:$DR$4,1,BA$2-Assumptions!$C$4+1))</f>
        <v>157500</v>
      </c>
      <c r="BB8" s="30">
        <f>IF((BB$2-Assumptions!$C$4+1)&lt;1,0,Assumptions!$B$4*INDEX($C$4:$DR$4,1,BB$2-Assumptions!$C$4+1))</f>
        <v>157500</v>
      </c>
      <c r="BC8" s="30">
        <f>IF((BC$2-Assumptions!$C$4+1)&lt;1,0,Assumptions!$B$4*INDEX($C$4:$DR$4,1,BC$2-Assumptions!$C$4+1))</f>
        <v>157500</v>
      </c>
      <c r="BD8" s="30">
        <f>IF((BD$2-Assumptions!$C$4+1)&lt;1,0,Assumptions!$B$4*INDEX($C$4:$DR$4,1,BD$2-Assumptions!$C$4+1))</f>
        <v>157500</v>
      </c>
      <c r="BE8" s="30">
        <f>IF((BE$2-Assumptions!$C$4+1)&lt;1,0,Assumptions!$B$4*INDEX($C$4:$DR$4,1,BE$2-Assumptions!$C$4+1))</f>
        <v>157500</v>
      </c>
      <c r="BF8" s="30">
        <f>IF((BF$2-Assumptions!$C$4+1)&lt;1,0,Assumptions!$B$4*INDEX($C$4:$DR$4,1,BF$2-Assumptions!$C$4+1))</f>
        <v>157500</v>
      </c>
      <c r="BG8" s="30">
        <f>IF((BG$2-Assumptions!$C$4+1)&lt;1,0,Assumptions!$B$4*INDEX($C$4:$DR$4,1,BG$2-Assumptions!$C$4+1))</f>
        <v>157500</v>
      </c>
      <c r="BH8" s="30">
        <f>IF((BH$2-Assumptions!$C$4+1)&lt;1,0,Assumptions!$B$4*INDEX($C$4:$DR$4,1,BH$2-Assumptions!$C$4+1))</f>
        <v>157500</v>
      </c>
      <c r="BI8" s="30">
        <f>IF((BI$2-Assumptions!$C$4+1)&lt;1,0,Assumptions!$B$4*INDEX($C$4:$DR$4,1,BI$2-Assumptions!$C$4+1))</f>
        <v>157500</v>
      </c>
      <c r="BJ8" s="30">
        <f>IF((BJ$2-Assumptions!$C$4+1)&lt;1,0,Assumptions!$B$4*INDEX($C$4:$DR$4,1,BJ$2-Assumptions!$C$4+1))</f>
        <v>157500</v>
      </c>
      <c r="BK8" s="30">
        <f>IF((BK$2-Assumptions!$C$4+1)&lt;1,0,Assumptions!$B$4*INDEX($C$4:$DR$4,1,BK$2-Assumptions!$C$4+1))</f>
        <v>157500</v>
      </c>
      <c r="BL8" s="30">
        <f>IF((BL$2-Assumptions!$C$4+1)&lt;1,0,Assumptions!$B$4*INDEX($C$4:$DR$4,1,BL$2-Assumptions!$C$4+1))</f>
        <v>157500</v>
      </c>
      <c r="BM8" s="30">
        <f>IF((BM$2-Assumptions!$C$4+1)&lt;1,0,Assumptions!$B$4*INDEX($C$4:$DR$4,1,BM$2-Assumptions!$C$4+1))</f>
        <v>157500</v>
      </c>
      <c r="BN8" s="30">
        <f>IF((BN$2-Assumptions!$C$4+1)&lt;1,0,Assumptions!$B$4*INDEX($C$4:$DR$4,1,BN$2-Assumptions!$C$4+1))</f>
        <v>157500</v>
      </c>
      <c r="BO8" s="30">
        <f>IF((BO$2-Assumptions!$C$4+1)&lt;1,0,Assumptions!$B$4*INDEX($C$4:$DR$4,1,BO$2-Assumptions!$C$4+1))</f>
        <v>157500</v>
      </c>
      <c r="BP8" s="30">
        <f>IF((BP$2-Assumptions!$C$4+1)&lt;1,0,Assumptions!$B$4*INDEX($C$4:$DR$4,1,BP$2-Assumptions!$C$4+1))</f>
        <v>157500</v>
      </c>
      <c r="BQ8" s="30">
        <f>IF((BQ$2-Assumptions!$C$4+1)&lt;1,0,Assumptions!$B$4*INDEX($C$4:$DR$4,1,BQ$2-Assumptions!$C$4+1))</f>
        <v>157500</v>
      </c>
      <c r="BR8" s="30">
        <f>IF((BR$2-Assumptions!$C$4+1)&lt;1,0,Assumptions!$B$4*INDEX($C$4:$DR$4,1,BR$2-Assumptions!$C$4+1))</f>
        <v>157500</v>
      </c>
      <c r="BS8" s="30">
        <f>IF((BS$2-Assumptions!$C$4+1)&lt;1,0,Assumptions!$B$4*INDEX($C$4:$DR$4,1,BS$2-Assumptions!$C$4+1))</f>
        <v>157500</v>
      </c>
      <c r="BT8" s="30">
        <f>IF((BT$2-Assumptions!$C$4+1)&lt;1,0,Assumptions!$B$4*INDEX($C$4:$DR$4,1,BT$2-Assumptions!$C$4+1))</f>
        <v>157500</v>
      </c>
      <c r="BU8" s="30">
        <f>IF((BU$2-Assumptions!$C$4+1)&lt;1,0,Assumptions!$B$4*INDEX($C$4:$DR$4,1,BU$2-Assumptions!$C$4+1))</f>
        <v>157500</v>
      </c>
      <c r="BV8" s="30">
        <f>IF((BV$2-Assumptions!$C$4+1)&lt;1,0,Assumptions!$B$4*INDEX($C$4:$DR$4,1,BV$2-Assumptions!$C$4+1))</f>
        <v>157500</v>
      </c>
      <c r="BW8" s="30">
        <f>IF((BW$2-Assumptions!$C$4+1)&lt;1,0,Assumptions!$B$4*INDEX($C$4:$DR$4,1,BW$2-Assumptions!$C$4+1))</f>
        <v>157500</v>
      </c>
      <c r="BX8" s="30">
        <f>IF((BX$2-Assumptions!$C$4+1)&lt;1,0,Assumptions!$B$4*INDEX($C$4:$DR$4,1,BX$2-Assumptions!$C$4+1))</f>
        <v>157500</v>
      </c>
      <c r="BY8" s="30">
        <f>IF((BY$2-Assumptions!$C$4+1)&lt;1,0,Assumptions!$B$4*INDEX($C$4:$DR$4,1,BY$2-Assumptions!$C$4+1))</f>
        <v>157500</v>
      </c>
      <c r="BZ8" s="30">
        <f>IF((BZ$2-Assumptions!$C$4+1)&lt;1,0,Assumptions!$B$4*INDEX($C$4:$DR$4,1,BZ$2-Assumptions!$C$4+1))</f>
        <v>157500</v>
      </c>
      <c r="CA8" s="30">
        <f>IF((CA$2-Assumptions!$C$4+1)&lt;1,0,Assumptions!$B$4*INDEX($C$4:$DR$4,1,CA$2-Assumptions!$C$4+1))</f>
        <v>157500</v>
      </c>
      <c r="CB8" s="30">
        <f>IF((CB$2-Assumptions!$C$4+1)&lt;1,0,Assumptions!$B$4*INDEX($C$4:$DR$4,1,CB$2-Assumptions!$C$4+1))</f>
        <v>157500</v>
      </c>
      <c r="CC8" s="30">
        <f>IF((CC$2-Assumptions!$C$4+1)&lt;1,0,Assumptions!$B$4*INDEX($C$4:$DR$4,1,CC$2-Assumptions!$C$4+1))</f>
        <v>157500</v>
      </c>
      <c r="CD8" s="30">
        <f>IF((CD$2-Assumptions!$C$4+1)&lt;1,0,Assumptions!$B$4*INDEX($C$4:$DR$4,1,CD$2-Assumptions!$C$4+1))</f>
        <v>157500</v>
      </c>
      <c r="CE8" s="30">
        <f>IF((CE$2-Assumptions!$C$4+1)&lt;1,0,Assumptions!$B$4*INDEX($C$4:$DR$4,1,CE$2-Assumptions!$C$4+1))</f>
        <v>157500</v>
      </c>
      <c r="CF8" s="30">
        <f>IF((CF$2-Assumptions!$C$4+1)&lt;1,0,Assumptions!$B$4*INDEX($C$4:$DR$4,1,CF$2-Assumptions!$C$4+1))</f>
        <v>157500</v>
      </c>
      <c r="CG8" s="30">
        <f>IF((CG$2-Assumptions!$C$4+1)&lt;1,0,Assumptions!$B$4*INDEX($C$4:$DR$4,1,CG$2-Assumptions!$C$4+1))</f>
        <v>157500</v>
      </c>
      <c r="CH8" s="30">
        <f>IF((CH$2-Assumptions!$C$4+1)&lt;1,0,Assumptions!$B$4*INDEX($C$4:$DR$4,1,CH$2-Assumptions!$C$4+1))</f>
        <v>157500</v>
      </c>
      <c r="CI8" s="30">
        <f>IF((CI$2-Assumptions!$C$4+1)&lt;1,0,Assumptions!$B$4*INDEX($C$4:$DR$4,1,CI$2-Assumptions!$C$4+1))</f>
        <v>157500</v>
      </c>
      <c r="CJ8" s="30">
        <f>IF((CJ$2-Assumptions!$C$4+1)&lt;1,0,Assumptions!$B$4*INDEX($C$4:$DR$4,1,CJ$2-Assumptions!$C$4+1))</f>
        <v>157500</v>
      </c>
      <c r="CK8" s="30">
        <f>IF((CK$2-Assumptions!$C$4+1)&lt;1,0,Assumptions!$B$4*INDEX($C$4:$DR$4,1,CK$2-Assumptions!$C$4+1))</f>
        <v>157500</v>
      </c>
      <c r="CL8" s="30">
        <f>IF((CL$2-Assumptions!$C$4+1)&lt;1,0,Assumptions!$B$4*INDEX($C$4:$DR$4,1,CL$2-Assumptions!$C$4+1))</f>
        <v>157500</v>
      </c>
      <c r="CM8" s="30">
        <f>IF((CM$2-Assumptions!$C$4+1)&lt;1,0,Assumptions!$B$4*INDEX($C$4:$DR$4,1,CM$2-Assumptions!$C$4+1))</f>
        <v>157500</v>
      </c>
      <c r="CN8" s="30">
        <f>IF((CN$2-Assumptions!$C$4+1)&lt;1,0,Assumptions!$B$4*INDEX($C$4:$DR$4,1,CN$2-Assumptions!$C$4+1))</f>
        <v>157500</v>
      </c>
      <c r="CO8" s="30">
        <f>IF((CO$2-Assumptions!$C$4+1)&lt;1,0,Assumptions!$B$4*INDEX($C$4:$DR$4,1,CO$2-Assumptions!$C$4+1))</f>
        <v>157500</v>
      </c>
      <c r="CP8" s="30">
        <f>IF((CP$2-Assumptions!$C$4+1)&lt;1,0,Assumptions!$B$4*INDEX($C$4:$DR$4,1,CP$2-Assumptions!$C$4+1))</f>
        <v>157500</v>
      </c>
      <c r="CQ8" s="30">
        <f>IF((CQ$2-Assumptions!$C$4+1)&lt;1,0,Assumptions!$B$4*INDEX($C$4:$DR$4,1,CQ$2-Assumptions!$C$4+1))</f>
        <v>157500</v>
      </c>
      <c r="CR8" s="30">
        <f>IF((CR$2-Assumptions!$C$4+1)&lt;1,0,Assumptions!$B$4*INDEX($C$4:$DR$4,1,CR$2-Assumptions!$C$4+1))</f>
        <v>157500</v>
      </c>
      <c r="CS8" s="30">
        <f>IF((CS$2-Assumptions!$C$4+1)&lt;1,0,Assumptions!$B$4*INDEX($C$4:$DR$4,1,CS$2-Assumptions!$C$4+1))</f>
        <v>157500</v>
      </c>
      <c r="CT8" s="30">
        <f>IF((CT$2-Assumptions!$C$4+1)&lt;1,0,Assumptions!$B$4*INDEX($C$4:$DR$4,1,CT$2-Assumptions!$C$4+1))</f>
        <v>157500</v>
      </c>
      <c r="CU8" s="30">
        <f>IF((CU$2-Assumptions!$C$4+1)&lt;1,0,Assumptions!$B$4*INDEX($C$4:$DR$4,1,CU$2-Assumptions!$C$4+1))</f>
        <v>157500</v>
      </c>
      <c r="CV8" s="30">
        <f>IF((CV$2-Assumptions!$C$4+1)&lt;1,0,Assumptions!$B$4*INDEX($C$4:$DR$4,1,CV$2-Assumptions!$C$4+1))</f>
        <v>157500</v>
      </c>
      <c r="CW8" s="30">
        <f>IF((CW$2-Assumptions!$C$4+1)&lt;1,0,Assumptions!$B$4*INDEX($C$4:$DR$4,1,CW$2-Assumptions!$C$4+1))</f>
        <v>157500</v>
      </c>
      <c r="CX8" s="30">
        <f>IF((CX$2-Assumptions!$C$4+1)&lt;1,0,Assumptions!$B$4*INDEX($C$4:$DR$4,1,CX$2-Assumptions!$C$4+1))</f>
        <v>157500</v>
      </c>
      <c r="CY8" s="30">
        <f>IF((CY$2-Assumptions!$C$4+1)&lt;1,0,Assumptions!$B$4*INDEX($C$4:$DR$4,1,CY$2-Assumptions!$C$4+1))</f>
        <v>157500</v>
      </c>
      <c r="CZ8" s="30">
        <f>IF((CZ$2-Assumptions!$C$4+1)&lt;1,0,Assumptions!$B$4*INDEX($C$4:$DR$4,1,CZ$2-Assumptions!$C$4+1))</f>
        <v>157500</v>
      </c>
      <c r="DA8" s="30">
        <f>IF((DA$2-Assumptions!$C$4+1)&lt;1,0,Assumptions!$B$4*INDEX($C$4:$DR$4,1,DA$2-Assumptions!$C$4+1))</f>
        <v>157500</v>
      </c>
      <c r="DB8" s="30">
        <f>IF((DB$2-Assumptions!$C$4+1)&lt;1,0,Assumptions!$B$4*INDEX($C$4:$DR$4,1,DB$2-Assumptions!$C$4+1))</f>
        <v>157500</v>
      </c>
      <c r="DC8" s="30">
        <f>IF((DC$2-Assumptions!$C$4+1)&lt;1,0,Assumptions!$B$4*INDEX($C$4:$DR$4,1,DC$2-Assumptions!$C$4+1))</f>
        <v>157500</v>
      </c>
      <c r="DD8" s="30">
        <f>IF((DD$2-Assumptions!$C$4+1)&lt;1,0,Assumptions!$B$4*INDEX($C$4:$DR$4,1,DD$2-Assumptions!$C$4+1))</f>
        <v>157500</v>
      </c>
      <c r="DE8" s="30">
        <f>IF((DE$2-Assumptions!$C$4+1)&lt;1,0,Assumptions!$B$4*INDEX($C$4:$DR$4,1,DE$2-Assumptions!$C$4+1))</f>
        <v>157500</v>
      </c>
      <c r="DF8" s="30">
        <f>IF((DF$2-Assumptions!$C$4+1)&lt;1,0,Assumptions!$B$4*INDEX($C$4:$DR$4,1,DF$2-Assumptions!$C$4+1))</f>
        <v>157500</v>
      </c>
      <c r="DG8" s="30">
        <f>IF((DG$2-Assumptions!$C$4+1)&lt;1,0,Assumptions!$B$4*INDEX($C$4:$DR$4,1,DG$2-Assumptions!$C$4+1))</f>
        <v>157500</v>
      </c>
      <c r="DH8" s="30">
        <f>IF((DH$2-Assumptions!$C$4+1)&lt;1,0,Assumptions!$B$4*INDEX($C$4:$DR$4,1,DH$2-Assumptions!$C$4+1))</f>
        <v>157500</v>
      </c>
      <c r="DI8" s="30">
        <f>IF((DI$2-Assumptions!$C$4+1)&lt;1,0,Assumptions!$B$4*INDEX($C$4:$DR$4,1,DI$2-Assumptions!$C$4+1))</f>
        <v>157500</v>
      </c>
      <c r="DJ8" s="30">
        <f>IF((DJ$2-Assumptions!$C$4+1)&lt;1,0,Assumptions!$B$4*INDEX($C$4:$DR$4,1,DJ$2-Assumptions!$C$4+1))</f>
        <v>157500</v>
      </c>
      <c r="DK8" s="30">
        <f>IF((DK$2-Assumptions!$C$4+1)&lt;1,0,Assumptions!$B$4*INDEX($C$4:$DR$4,1,DK$2-Assumptions!$C$4+1))</f>
        <v>157500</v>
      </c>
      <c r="DL8" s="30">
        <f>IF((DL$2-Assumptions!$C$4+1)&lt;1,0,Assumptions!$B$4*INDEX($C$4:$DR$4,1,DL$2-Assumptions!$C$4+1))</f>
        <v>157500</v>
      </c>
      <c r="DM8" s="30">
        <f>IF((DM$2-Assumptions!$C$4+1)&lt;1,0,Assumptions!$B$4*INDEX($C$4:$DR$4,1,DM$2-Assumptions!$C$4+1))</f>
        <v>157500</v>
      </c>
      <c r="DN8" s="30">
        <f>IF((DN$2-Assumptions!$C$4+1)&lt;1,0,Assumptions!$B$4*INDEX($C$4:$DR$4,1,DN$2-Assumptions!$C$4+1))</f>
        <v>157500</v>
      </c>
      <c r="DO8" s="30">
        <f>IF((DO$2-Assumptions!$C$4+1)&lt;1,0,Assumptions!$B$4*INDEX($C$4:$DR$4,1,DO$2-Assumptions!$C$4+1))</f>
        <v>157500</v>
      </c>
      <c r="DP8" s="30">
        <f>IF((DP$2-Assumptions!$C$4+1)&lt;1,0,Assumptions!$B$4*INDEX($C$4:$DR$4,1,DP$2-Assumptions!$C$4+1))</f>
        <v>157500</v>
      </c>
      <c r="DQ8" s="30">
        <f>IF((DQ$2-Assumptions!$C$4+1)&lt;1,0,Assumptions!$B$4*INDEX($C$4:$DR$4,1,DQ$2-Assumptions!$C$4+1))</f>
        <v>157500</v>
      </c>
      <c r="DR8" s="30">
        <f>IF((DR$2-Assumptions!$C$4+1)&lt;1,0,Assumptions!$B$4*INDEX($C$4:$DR$4,1,DR$2-Assumptions!$C$4+1))</f>
        <v>157500</v>
      </c>
    </row>
    <row r="9" spans="1:122" x14ac:dyDescent="0.2">
      <c r="A9" s="9" t="s">
        <v>82</v>
      </c>
      <c r="C9" s="30">
        <f>IF((C$2-Assumptions!$C$5+1)&lt;1,0,Assumptions!$B$5*INDEX($C$4:$DR$4,1,C$2-Assumptions!$C$5+1))</f>
        <v>0</v>
      </c>
      <c r="D9" s="30">
        <f>IF((D$2-Assumptions!$C$5+1)&lt;1,0,Assumptions!$B$5*INDEX($C$4:$DR$4,1,D$2-Assumptions!$C$5+1))</f>
        <v>0</v>
      </c>
      <c r="E9" s="30">
        <f>IF((E$2-Assumptions!$C$5+1)&lt;1,0,Assumptions!$B$5*INDEX($C$4:$DR$4,1,E$2-Assumptions!$C$5+1))</f>
        <v>0</v>
      </c>
      <c r="F9" s="30">
        <f>IF((F$2-Assumptions!$C$5+1)&lt;1,0,Assumptions!$B$5*INDEX($C$4:$DR$4,1,F$2-Assumptions!$C$5+1))</f>
        <v>0</v>
      </c>
      <c r="G9" s="30">
        <f>IF((G$2-Assumptions!$C$5+1)&lt;1,0,Assumptions!$B$5*INDEX($C$4:$DR$4,1,G$2-Assumptions!$C$5+1))</f>
        <v>0</v>
      </c>
      <c r="H9" s="30">
        <f>IF((H$2-Assumptions!$C$5+1)&lt;1,0,Assumptions!$B$5*INDEX($C$4:$DR$4,1,H$2-Assumptions!$C$5+1))</f>
        <v>0</v>
      </c>
      <c r="I9" s="30">
        <f>IF((I$2-Assumptions!$C$5+1)&lt;1,0,Assumptions!$B$5*INDEX($C$4:$DR$4,1,I$2-Assumptions!$C$5+1))</f>
        <v>0</v>
      </c>
      <c r="J9" s="30">
        <f>IF((J$2-Assumptions!$C$5+1)&lt;1,0,Assumptions!$B$5*INDEX($C$4:$DR$4,1,J$2-Assumptions!$C$5+1))</f>
        <v>0</v>
      </c>
      <c r="K9" s="30">
        <f>IF((K$2-Assumptions!$C$5+1)&lt;1,0,Assumptions!$B$5*INDEX($C$4:$DR$4,1,K$2-Assumptions!$C$5+1))</f>
        <v>0</v>
      </c>
      <c r="L9" s="30">
        <f>IF((L$2-Assumptions!$C$5+1)&lt;1,0,Assumptions!$B$5*INDEX($C$4:$DR$4,1,L$2-Assumptions!$C$5+1))</f>
        <v>0</v>
      </c>
      <c r="M9" s="30">
        <f>IF((M$2-Assumptions!$C$5+1)&lt;1,0,Assumptions!$B$5*INDEX($C$4:$DR$4,1,M$2-Assumptions!$C$5+1))</f>
        <v>0</v>
      </c>
      <c r="N9" s="30">
        <f>IF((N$2-Assumptions!$C$5+1)&lt;1,0,Assumptions!$B$5*INDEX($C$4:$DR$4,1,N$2-Assumptions!$C$5+1))</f>
        <v>0</v>
      </c>
      <c r="O9" s="30">
        <f>IF((O$2-Assumptions!$C$5+1)&lt;1,0,Assumptions!$B$5*INDEX($C$4:$DR$4,1,O$2-Assumptions!$C$5+1))</f>
        <v>0</v>
      </c>
      <c r="P9" s="30">
        <f>IF((P$2-Assumptions!$C$5+1)&lt;1,0,Assumptions!$B$5*INDEX($C$4:$DR$4,1,P$2-Assumptions!$C$5+1))</f>
        <v>0</v>
      </c>
      <c r="Q9" s="30">
        <f>IF((Q$2-Assumptions!$C$5+1)&lt;1,0,Assumptions!$B$5*INDEX($C$4:$DR$4,1,Q$2-Assumptions!$C$5+1))</f>
        <v>0</v>
      </c>
      <c r="R9" s="30">
        <f>IF((R$2-Assumptions!$C$5+1)&lt;1,0,Assumptions!$B$5*INDEX($C$4:$DR$4,1,R$2-Assumptions!$C$5+1))</f>
        <v>0</v>
      </c>
      <c r="S9" s="30">
        <f>IF((S$2-Assumptions!$C$5+1)&lt;1,0,Assumptions!$B$5*INDEX($C$4:$DR$4,1,S$2-Assumptions!$C$5+1))</f>
        <v>0</v>
      </c>
      <c r="T9" s="30">
        <f>IF((T$2-Assumptions!$C$5+1)&lt;1,0,Assumptions!$B$5*INDEX($C$4:$DR$4,1,T$2-Assumptions!$C$5+1))</f>
        <v>0</v>
      </c>
      <c r="U9" s="30">
        <f>IF((U$2-Assumptions!$C$5+1)&lt;1,0,Assumptions!$B$5*INDEX($C$4:$DR$4,1,U$2-Assumptions!$C$5+1))</f>
        <v>0</v>
      </c>
      <c r="V9" s="30">
        <f>IF((V$2-Assumptions!$C$5+1)&lt;1,0,Assumptions!$B$5*INDEX($C$4:$DR$4,1,V$2-Assumptions!$C$5+1))</f>
        <v>0</v>
      </c>
      <c r="W9" s="30">
        <f>IF((W$2-Assumptions!$C$5+1)&lt;1,0,Assumptions!$B$5*INDEX($C$4:$DR$4,1,W$2-Assumptions!$C$5+1))</f>
        <v>0</v>
      </c>
      <c r="X9" s="30">
        <f>IF((X$2-Assumptions!$C$5+1)&lt;1,0,Assumptions!$B$5*INDEX($C$4:$DR$4,1,X$2-Assumptions!$C$5+1))</f>
        <v>0</v>
      </c>
      <c r="Y9" s="30">
        <f>IF((Y$2-Assumptions!$C$5+1)&lt;1,0,Assumptions!$B$5*INDEX($C$4:$DR$4,1,Y$2-Assumptions!$C$5+1))</f>
        <v>0</v>
      </c>
      <c r="Z9" s="30">
        <f>IF((Z$2-Assumptions!$C$5+1)&lt;1,0,Assumptions!$B$5*INDEX($C$4:$DR$4,1,Z$2-Assumptions!$C$5+1))</f>
        <v>0</v>
      </c>
      <c r="AA9" s="30">
        <f>IF((AA$2-Assumptions!$C$5+1)&lt;1,0,Assumptions!$B$5*INDEX($C$4:$DR$4,1,AA$2-Assumptions!$C$5+1))</f>
        <v>4375</v>
      </c>
      <c r="AB9" s="30">
        <f>IF((AB$2-Assumptions!$C$5+1)&lt;1,0,Assumptions!$B$5*INDEX($C$4:$DR$4,1,AB$2-Assumptions!$C$5+1))</f>
        <v>8750</v>
      </c>
      <c r="AC9" s="30">
        <f>IF((AC$2-Assumptions!$C$5+1)&lt;1,0,Assumptions!$B$5*INDEX($C$4:$DR$4,1,AC$2-Assumptions!$C$5+1))</f>
        <v>13125.000000000002</v>
      </c>
      <c r="AD9" s="30">
        <f>IF((AD$2-Assumptions!$C$5+1)&lt;1,0,Assumptions!$B$5*INDEX($C$4:$DR$4,1,AD$2-Assumptions!$C$5+1))</f>
        <v>17500</v>
      </c>
      <c r="AE9" s="30">
        <f>IF((AE$2-Assumptions!$C$5+1)&lt;1,0,Assumptions!$B$5*INDEX($C$4:$DR$4,1,AE$2-Assumptions!$C$5+1))</f>
        <v>21875</v>
      </c>
      <c r="AF9" s="30">
        <f>IF((AF$2-Assumptions!$C$5+1)&lt;1,0,Assumptions!$B$5*INDEX($C$4:$DR$4,1,AF$2-Assumptions!$C$5+1))</f>
        <v>26250.000000000004</v>
      </c>
      <c r="AG9" s="30">
        <f>IF((AG$2-Assumptions!$C$5+1)&lt;1,0,Assumptions!$B$5*INDEX($C$4:$DR$4,1,AG$2-Assumptions!$C$5+1))</f>
        <v>30624.999999999996</v>
      </c>
      <c r="AH9" s="30">
        <f>IF((AH$2-Assumptions!$C$5+1)&lt;1,0,Assumptions!$B$5*INDEX($C$4:$DR$4,1,AH$2-Assumptions!$C$5+1))</f>
        <v>35000</v>
      </c>
      <c r="AI9" s="30">
        <f>IF((AI$2-Assumptions!$C$5+1)&lt;1,0,Assumptions!$B$5*INDEX($C$4:$DR$4,1,AI$2-Assumptions!$C$5+1))</f>
        <v>39374.999999999993</v>
      </c>
      <c r="AJ9" s="30">
        <f>IF((AJ$2-Assumptions!$C$5+1)&lt;1,0,Assumptions!$B$5*INDEX($C$4:$DR$4,1,AJ$2-Assumptions!$C$5+1))</f>
        <v>43750</v>
      </c>
      <c r="AK9" s="30">
        <f>IF((AK$2-Assumptions!$C$5+1)&lt;1,0,Assumptions!$B$5*INDEX($C$4:$DR$4,1,AK$2-Assumptions!$C$5+1))</f>
        <v>48125.000000000007</v>
      </c>
      <c r="AL9" s="30">
        <f>IF((AL$2-Assumptions!$C$5+1)&lt;1,0,Assumptions!$B$5*INDEX($C$4:$DR$4,1,AL$2-Assumptions!$C$5+1))</f>
        <v>52500.000000000007</v>
      </c>
      <c r="AM9" s="30">
        <f>IF((AM$2-Assumptions!$C$5+1)&lt;1,0,Assumptions!$B$5*INDEX($C$4:$DR$4,1,AM$2-Assumptions!$C$5+1))</f>
        <v>56875</v>
      </c>
      <c r="AN9" s="30">
        <f>IF((AN$2-Assumptions!$C$5+1)&lt;1,0,Assumptions!$B$5*INDEX($C$4:$DR$4,1,AN$2-Assumptions!$C$5+1))</f>
        <v>61249.999999999993</v>
      </c>
      <c r="AO9" s="30">
        <f>IF((AO$2-Assumptions!$C$5+1)&lt;1,0,Assumptions!$B$5*INDEX($C$4:$DR$4,1,AO$2-Assumptions!$C$5+1))</f>
        <v>65625</v>
      </c>
      <c r="AP9" s="30">
        <f>IF((AP$2-Assumptions!$C$5+1)&lt;1,0,Assumptions!$B$5*INDEX($C$4:$DR$4,1,AP$2-Assumptions!$C$5+1))</f>
        <v>70000</v>
      </c>
      <c r="AQ9" s="30">
        <f>IF((AQ$2-Assumptions!$C$5+1)&lt;1,0,Assumptions!$B$5*INDEX($C$4:$DR$4,1,AQ$2-Assumptions!$C$5+1))</f>
        <v>74375.000000000015</v>
      </c>
      <c r="AR9" s="30">
        <f>IF((AR$2-Assumptions!$C$5+1)&lt;1,0,Assumptions!$B$5*INDEX($C$4:$DR$4,1,AR$2-Assumptions!$C$5+1))</f>
        <v>78749.999999999985</v>
      </c>
      <c r="AS9" s="30">
        <f>IF((AS$2-Assumptions!$C$5+1)&lt;1,0,Assumptions!$B$5*INDEX($C$4:$DR$4,1,AS$2-Assumptions!$C$5+1))</f>
        <v>83125</v>
      </c>
      <c r="AT9" s="30">
        <f>IF((AT$2-Assumptions!$C$5+1)&lt;1,0,Assumptions!$B$5*INDEX($C$4:$DR$4,1,AT$2-Assumptions!$C$5+1))</f>
        <v>87500</v>
      </c>
      <c r="AU9" s="30">
        <f>IF((AU$2-Assumptions!$C$5+1)&lt;1,0,Assumptions!$B$5*INDEX($C$4:$DR$4,1,AU$2-Assumptions!$C$5+1))</f>
        <v>91875</v>
      </c>
      <c r="AV9" s="30">
        <f>IF((AV$2-Assumptions!$C$5+1)&lt;1,0,Assumptions!$B$5*INDEX($C$4:$DR$4,1,AV$2-Assumptions!$C$5+1))</f>
        <v>96250.000000000015</v>
      </c>
      <c r="AW9" s="30">
        <f>IF((AW$2-Assumptions!$C$5+1)&lt;1,0,Assumptions!$B$5*INDEX($C$4:$DR$4,1,AW$2-Assumptions!$C$5+1))</f>
        <v>100624.99999999999</v>
      </c>
      <c r="AX9" s="30">
        <f>IF((AX$2-Assumptions!$C$5+1)&lt;1,0,Assumptions!$B$5*INDEX($C$4:$DR$4,1,AX$2-Assumptions!$C$5+1))</f>
        <v>105000.00000000001</v>
      </c>
      <c r="AY9" s="30">
        <f>IF((AY$2-Assumptions!$C$5+1)&lt;1,0,Assumptions!$B$5*INDEX($C$4:$DR$4,1,AY$2-Assumptions!$C$5+1))</f>
        <v>109375</v>
      </c>
      <c r="AZ9" s="30">
        <f>IF((AZ$2-Assumptions!$C$5+1)&lt;1,0,Assumptions!$B$5*INDEX($C$4:$DR$4,1,AZ$2-Assumptions!$C$5+1))</f>
        <v>113750</v>
      </c>
      <c r="BA9" s="30">
        <f>IF((BA$2-Assumptions!$C$5+1)&lt;1,0,Assumptions!$B$5*INDEX($C$4:$DR$4,1,BA$2-Assumptions!$C$5+1))</f>
        <v>118125.00000000001</v>
      </c>
      <c r="BB9" s="30">
        <f>IF((BB$2-Assumptions!$C$5+1)&lt;1,0,Assumptions!$B$5*INDEX($C$4:$DR$4,1,BB$2-Assumptions!$C$5+1))</f>
        <v>122499.99999999999</v>
      </c>
      <c r="BC9" s="30">
        <f>IF((BC$2-Assumptions!$C$5+1)&lt;1,0,Assumptions!$B$5*INDEX($C$4:$DR$4,1,BC$2-Assumptions!$C$5+1))</f>
        <v>126875.00000000001</v>
      </c>
      <c r="BD9" s="30">
        <f>IF((BD$2-Assumptions!$C$5+1)&lt;1,0,Assumptions!$B$5*INDEX($C$4:$DR$4,1,BD$2-Assumptions!$C$5+1))</f>
        <v>131250</v>
      </c>
      <c r="BE9" s="30">
        <f>IF((BE$2-Assumptions!$C$5+1)&lt;1,0,Assumptions!$B$5*INDEX($C$4:$DR$4,1,BE$2-Assumptions!$C$5+1))</f>
        <v>135625</v>
      </c>
      <c r="BF9" s="30">
        <f>IF((BF$2-Assumptions!$C$5+1)&lt;1,0,Assumptions!$B$5*INDEX($C$4:$DR$4,1,BF$2-Assumptions!$C$5+1))</f>
        <v>140000</v>
      </c>
      <c r="BG9" s="30">
        <f>IF((BG$2-Assumptions!$C$5+1)&lt;1,0,Assumptions!$B$5*INDEX($C$4:$DR$4,1,BG$2-Assumptions!$C$5+1))</f>
        <v>144375</v>
      </c>
      <c r="BH9" s="30">
        <f>IF((BH$2-Assumptions!$C$5+1)&lt;1,0,Assumptions!$B$5*INDEX($C$4:$DR$4,1,BH$2-Assumptions!$C$5+1))</f>
        <v>148750.00000000003</v>
      </c>
      <c r="BI9" s="30">
        <f>IF((BI$2-Assumptions!$C$5+1)&lt;1,0,Assumptions!$B$5*INDEX($C$4:$DR$4,1,BI$2-Assumptions!$C$5+1))</f>
        <v>153125</v>
      </c>
      <c r="BJ9" s="30">
        <f>IF((BJ$2-Assumptions!$C$5+1)&lt;1,0,Assumptions!$B$5*INDEX($C$4:$DR$4,1,BJ$2-Assumptions!$C$5+1))</f>
        <v>157499.99999999997</v>
      </c>
      <c r="BK9" s="30">
        <f>IF((BK$2-Assumptions!$C$5+1)&lt;1,0,Assumptions!$B$5*INDEX($C$4:$DR$4,1,BK$2-Assumptions!$C$5+1))</f>
        <v>157500</v>
      </c>
      <c r="BL9" s="30">
        <f>IF((BL$2-Assumptions!$C$5+1)&lt;1,0,Assumptions!$B$5*INDEX($C$4:$DR$4,1,BL$2-Assumptions!$C$5+1))</f>
        <v>157500</v>
      </c>
      <c r="BM9" s="30">
        <f>IF((BM$2-Assumptions!$C$5+1)&lt;1,0,Assumptions!$B$5*INDEX($C$4:$DR$4,1,BM$2-Assumptions!$C$5+1))</f>
        <v>157500</v>
      </c>
      <c r="BN9" s="30">
        <f>IF((BN$2-Assumptions!$C$5+1)&lt;1,0,Assumptions!$B$5*INDEX($C$4:$DR$4,1,BN$2-Assumptions!$C$5+1))</f>
        <v>157500</v>
      </c>
      <c r="BO9" s="30">
        <f>IF((BO$2-Assumptions!$C$5+1)&lt;1,0,Assumptions!$B$5*INDEX($C$4:$DR$4,1,BO$2-Assumptions!$C$5+1))</f>
        <v>157500</v>
      </c>
      <c r="BP9" s="30">
        <f>IF((BP$2-Assumptions!$C$5+1)&lt;1,0,Assumptions!$B$5*INDEX($C$4:$DR$4,1,BP$2-Assumptions!$C$5+1))</f>
        <v>157500</v>
      </c>
      <c r="BQ9" s="30">
        <f>IF((BQ$2-Assumptions!$C$5+1)&lt;1,0,Assumptions!$B$5*INDEX($C$4:$DR$4,1,BQ$2-Assumptions!$C$5+1))</f>
        <v>157500</v>
      </c>
      <c r="BR9" s="30">
        <f>IF((BR$2-Assumptions!$C$5+1)&lt;1,0,Assumptions!$B$5*INDEX($C$4:$DR$4,1,BR$2-Assumptions!$C$5+1))</f>
        <v>157500</v>
      </c>
      <c r="BS9" s="30">
        <f>IF((BS$2-Assumptions!$C$5+1)&lt;1,0,Assumptions!$B$5*INDEX($C$4:$DR$4,1,BS$2-Assumptions!$C$5+1))</f>
        <v>157500</v>
      </c>
      <c r="BT9" s="30">
        <f>IF((BT$2-Assumptions!$C$5+1)&lt;1,0,Assumptions!$B$5*INDEX($C$4:$DR$4,1,BT$2-Assumptions!$C$5+1))</f>
        <v>157500</v>
      </c>
      <c r="BU9" s="30">
        <f>IF((BU$2-Assumptions!$C$5+1)&lt;1,0,Assumptions!$B$5*INDEX($C$4:$DR$4,1,BU$2-Assumptions!$C$5+1))</f>
        <v>157500</v>
      </c>
      <c r="BV9" s="30">
        <f>IF((BV$2-Assumptions!$C$5+1)&lt;1,0,Assumptions!$B$5*INDEX($C$4:$DR$4,1,BV$2-Assumptions!$C$5+1))</f>
        <v>157500</v>
      </c>
      <c r="BW9" s="30">
        <f>IF((BW$2-Assumptions!$C$5+1)&lt;1,0,Assumptions!$B$5*INDEX($C$4:$DR$4,1,BW$2-Assumptions!$C$5+1))</f>
        <v>157500</v>
      </c>
      <c r="BX9" s="30">
        <f>IF((BX$2-Assumptions!$C$5+1)&lt;1,0,Assumptions!$B$5*INDEX($C$4:$DR$4,1,BX$2-Assumptions!$C$5+1))</f>
        <v>157500</v>
      </c>
      <c r="BY9" s="30">
        <f>IF((BY$2-Assumptions!$C$5+1)&lt;1,0,Assumptions!$B$5*INDEX($C$4:$DR$4,1,BY$2-Assumptions!$C$5+1))</f>
        <v>157500</v>
      </c>
      <c r="BZ9" s="30">
        <f>IF((BZ$2-Assumptions!$C$5+1)&lt;1,0,Assumptions!$B$5*INDEX($C$4:$DR$4,1,BZ$2-Assumptions!$C$5+1))</f>
        <v>157500</v>
      </c>
      <c r="CA9" s="30">
        <f>IF((CA$2-Assumptions!$C$5+1)&lt;1,0,Assumptions!$B$5*INDEX($C$4:$DR$4,1,CA$2-Assumptions!$C$5+1))</f>
        <v>157500</v>
      </c>
      <c r="CB9" s="30">
        <f>IF((CB$2-Assumptions!$C$5+1)&lt;1,0,Assumptions!$B$5*INDEX($C$4:$DR$4,1,CB$2-Assumptions!$C$5+1))</f>
        <v>157500</v>
      </c>
      <c r="CC9" s="30">
        <f>IF((CC$2-Assumptions!$C$5+1)&lt;1,0,Assumptions!$B$5*INDEX($C$4:$DR$4,1,CC$2-Assumptions!$C$5+1))</f>
        <v>157500</v>
      </c>
      <c r="CD9" s="30">
        <f>IF((CD$2-Assumptions!$C$5+1)&lt;1,0,Assumptions!$B$5*INDEX($C$4:$DR$4,1,CD$2-Assumptions!$C$5+1))</f>
        <v>157500</v>
      </c>
      <c r="CE9" s="30">
        <f>IF((CE$2-Assumptions!$C$5+1)&lt;1,0,Assumptions!$B$5*INDEX($C$4:$DR$4,1,CE$2-Assumptions!$C$5+1))</f>
        <v>157500</v>
      </c>
      <c r="CF9" s="30">
        <f>IF((CF$2-Assumptions!$C$5+1)&lt;1,0,Assumptions!$B$5*INDEX($C$4:$DR$4,1,CF$2-Assumptions!$C$5+1))</f>
        <v>157500</v>
      </c>
      <c r="CG9" s="30">
        <f>IF((CG$2-Assumptions!$C$5+1)&lt;1,0,Assumptions!$B$5*INDEX($C$4:$DR$4,1,CG$2-Assumptions!$C$5+1))</f>
        <v>157500</v>
      </c>
      <c r="CH9" s="30">
        <f>IF((CH$2-Assumptions!$C$5+1)&lt;1,0,Assumptions!$B$5*INDEX($C$4:$DR$4,1,CH$2-Assumptions!$C$5+1))</f>
        <v>157500</v>
      </c>
      <c r="CI9" s="30">
        <f>IF((CI$2-Assumptions!$C$5+1)&lt;1,0,Assumptions!$B$5*INDEX($C$4:$DR$4,1,CI$2-Assumptions!$C$5+1))</f>
        <v>157500</v>
      </c>
      <c r="CJ9" s="30">
        <f>IF((CJ$2-Assumptions!$C$5+1)&lt;1,0,Assumptions!$B$5*INDEX($C$4:$DR$4,1,CJ$2-Assumptions!$C$5+1))</f>
        <v>157500</v>
      </c>
      <c r="CK9" s="30">
        <f>IF((CK$2-Assumptions!$C$5+1)&lt;1,0,Assumptions!$B$5*INDEX($C$4:$DR$4,1,CK$2-Assumptions!$C$5+1))</f>
        <v>157500</v>
      </c>
      <c r="CL9" s="30">
        <f>IF((CL$2-Assumptions!$C$5+1)&lt;1,0,Assumptions!$B$5*INDEX($C$4:$DR$4,1,CL$2-Assumptions!$C$5+1))</f>
        <v>157500</v>
      </c>
      <c r="CM9" s="30">
        <f>IF((CM$2-Assumptions!$C$5+1)&lt;1,0,Assumptions!$B$5*INDEX($C$4:$DR$4,1,CM$2-Assumptions!$C$5+1))</f>
        <v>157500</v>
      </c>
      <c r="CN9" s="30">
        <f>IF((CN$2-Assumptions!$C$5+1)&lt;1,0,Assumptions!$B$5*INDEX($C$4:$DR$4,1,CN$2-Assumptions!$C$5+1))</f>
        <v>157500</v>
      </c>
      <c r="CO9" s="30">
        <f>IF((CO$2-Assumptions!$C$5+1)&lt;1,0,Assumptions!$B$5*INDEX($C$4:$DR$4,1,CO$2-Assumptions!$C$5+1))</f>
        <v>157500</v>
      </c>
      <c r="CP9" s="30">
        <f>IF((CP$2-Assumptions!$C$5+1)&lt;1,0,Assumptions!$B$5*INDEX($C$4:$DR$4,1,CP$2-Assumptions!$C$5+1))</f>
        <v>157500</v>
      </c>
      <c r="CQ9" s="30">
        <f>IF((CQ$2-Assumptions!$C$5+1)&lt;1,0,Assumptions!$B$5*INDEX($C$4:$DR$4,1,CQ$2-Assumptions!$C$5+1))</f>
        <v>157500</v>
      </c>
      <c r="CR9" s="30">
        <f>IF((CR$2-Assumptions!$C$5+1)&lt;1,0,Assumptions!$B$5*INDEX($C$4:$DR$4,1,CR$2-Assumptions!$C$5+1))</f>
        <v>157500</v>
      </c>
      <c r="CS9" s="30">
        <f>IF((CS$2-Assumptions!$C$5+1)&lt;1,0,Assumptions!$B$5*INDEX($C$4:$DR$4,1,CS$2-Assumptions!$C$5+1))</f>
        <v>157500</v>
      </c>
      <c r="CT9" s="30">
        <f>IF((CT$2-Assumptions!$C$5+1)&lt;1,0,Assumptions!$B$5*INDEX($C$4:$DR$4,1,CT$2-Assumptions!$C$5+1))</f>
        <v>157500</v>
      </c>
      <c r="CU9" s="30">
        <f>IF((CU$2-Assumptions!$C$5+1)&lt;1,0,Assumptions!$B$5*INDEX($C$4:$DR$4,1,CU$2-Assumptions!$C$5+1))</f>
        <v>157500</v>
      </c>
      <c r="CV9" s="30">
        <f>IF((CV$2-Assumptions!$C$5+1)&lt;1,0,Assumptions!$B$5*INDEX($C$4:$DR$4,1,CV$2-Assumptions!$C$5+1))</f>
        <v>157500</v>
      </c>
      <c r="CW9" s="30">
        <f>IF((CW$2-Assumptions!$C$5+1)&lt;1,0,Assumptions!$B$5*INDEX($C$4:$DR$4,1,CW$2-Assumptions!$C$5+1))</f>
        <v>157500</v>
      </c>
      <c r="CX9" s="30">
        <f>IF((CX$2-Assumptions!$C$5+1)&lt;1,0,Assumptions!$B$5*INDEX($C$4:$DR$4,1,CX$2-Assumptions!$C$5+1))</f>
        <v>157500</v>
      </c>
      <c r="CY9" s="30">
        <f>IF((CY$2-Assumptions!$C$5+1)&lt;1,0,Assumptions!$B$5*INDEX($C$4:$DR$4,1,CY$2-Assumptions!$C$5+1))</f>
        <v>157500</v>
      </c>
      <c r="CZ9" s="30">
        <f>IF((CZ$2-Assumptions!$C$5+1)&lt;1,0,Assumptions!$B$5*INDEX($C$4:$DR$4,1,CZ$2-Assumptions!$C$5+1))</f>
        <v>157500</v>
      </c>
      <c r="DA9" s="30">
        <f>IF((DA$2-Assumptions!$C$5+1)&lt;1,0,Assumptions!$B$5*INDEX($C$4:$DR$4,1,DA$2-Assumptions!$C$5+1))</f>
        <v>157500</v>
      </c>
      <c r="DB9" s="30">
        <f>IF((DB$2-Assumptions!$C$5+1)&lt;1,0,Assumptions!$B$5*INDEX($C$4:$DR$4,1,DB$2-Assumptions!$C$5+1))</f>
        <v>157500</v>
      </c>
      <c r="DC9" s="30">
        <f>IF((DC$2-Assumptions!$C$5+1)&lt;1,0,Assumptions!$B$5*INDEX($C$4:$DR$4,1,DC$2-Assumptions!$C$5+1))</f>
        <v>157500</v>
      </c>
      <c r="DD9" s="30">
        <f>IF((DD$2-Assumptions!$C$5+1)&lt;1,0,Assumptions!$B$5*INDEX($C$4:$DR$4,1,DD$2-Assumptions!$C$5+1))</f>
        <v>157500</v>
      </c>
      <c r="DE9" s="30">
        <f>IF((DE$2-Assumptions!$C$5+1)&lt;1,0,Assumptions!$B$5*INDEX($C$4:$DR$4,1,DE$2-Assumptions!$C$5+1))</f>
        <v>157500</v>
      </c>
      <c r="DF9" s="30">
        <f>IF((DF$2-Assumptions!$C$5+1)&lt;1,0,Assumptions!$B$5*INDEX($C$4:$DR$4,1,DF$2-Assumptions!$C$5+1))</f>
        <v>157500</v>
      </c>
      <c r="DG9" s="30">
        <f>IF((DG$2-Assumptions!$C$5+1)&lt;1,0,Assumptions!$B$5*INDEX($C$4:$DR$4,1,DG$2-Assumptions!$C$5+1))</f>
        <v>157500</v>
      </c>
      <c r="DH9" s="30">
        <f>IF((DH$2-Assumptions!$C$5+1)&lt;1,0,Assumptions!$B$5*INDEX($C$4:$DR$4,1,DH$2-Assumptions!$C$5+1))</f>
        <v>157500</v>
      </c>
      <c r="DI9" s="30">
        <f>IF((DI$2-Assumptions!$C$5+1)&lt;1,0,Assumptions!$B$5*INDEX($C$4:$DR$4,1,DI$2-Assumptions!$C$5+1))</f>
        <v>157500</v>
      </c>
      <c r="DJ9" s="30">
        <f>IF((DJ$2-Assumptions!$C$5+1)&lt;1,0,Assumptions!$B$5*INDEX($C$4:$DR$4,1,DJ$2-Assumptions!$C$5+1))</f>
        <v>157500</v>
      </c>
      <c r="DK9" s="30">
        <f>IF((DK$2-Assumptions!$C$5+1)&lt;1,0,Assumptions!$B$5*INDEX($C$4:$DR$4,1,DK$2-Assumptions!$C$5+1))</f>
        <v>157500</v>
      </c>
      <c r="DL9" s="30">
        <f>IF((DL$2-Assumptions!$C$5+1)&lt;1,0,Assumptions!$B$5*INDEX($C$4:$DR$4,1,DL$2-Assumptions!$C$5+1))</f>
        <v>157500</v>
      </c>
      <c r="DM9" s="30">
        <f>IF((DM$2-Assumptions!$C$5+1)&lt;1,0,Assumptions!$B$5*INDEX($C$4:$DR$4,1,DM$2-Assumptions!$C$5+1))</f>
        <v>157500</v>
      </c>
      <c r="DN9" s="30">
        <f>IF((DN$2-Assumptions!$C$5+1)&lt;1,0,Assumptions!$B$5*INDEX($C$4:$DR$4,1,DN$2-Assumptions!$C$5+1))</f>
        <v>157500</v>
      </c>
      <c r="DO9" s="30">
        <f>IF((DO$2-Assumptions!$C$5+1)&lt;1,0,Assumptions!$B$5*INDEX($C$4:$DR$4,1,DO$2-Assumptions!$C$5+1))</f>
        <v>157500</v>
      </c>
      <c r="DP9" s="30">
        <f>IF((DP$2-Assumptions!$C$5+1)&lt;1,0,Assumptions!$B$5*INDEX($C$4:$DR$4,1,DP$2-Assumptions!$C$5+1))</f>
        <v>157500</v>
      </c>
      <c r="DQ9" s="30">
        <f>IF((DQ$2-Assumptions!$C$5+1)&lt;1,0,Assumptions!$B$5*INDEX($C$4:$DR$4,1,DQ$2-Assumptions!$C$5+1))</f>
        <v>157500</v>
      </c>
      <c r="DR9" s="30">
        <f>IF((DR$2-Assumptions!$C$5+1)&lt;1,0,Assumptions!$B$5*INDEX($C$4:$DR$4,1,DR$2-Assumptions!$C$5+1))</f>
        <v>157500</v>
      </c>
    </row>
    <row r="10" spans="1:122" x14ac:dyDescent="0.2">
      <c r="A10" s="9" t="s">
        <v>83</v>
      </c>
      <c r="C10" s="30">
        <f>IF((C$2-Assumptions!$C$6+1)&lt;1,0,Assumptions!$B$6*INDEX($C$4:$DR$4,1,C$2-Assumptions!$C$6+1))</f>
        <v>0</v>
      </c>
      <c r="D10" s="30">
        <f>IF((D$2-Assumptions!$C$6+1)&lt;1,0,Assumptions!$B$6*INDEX($C$4:$DR$4,1,D$2-Assumptions!$C$6+1))</f>
        <v>0</v>
      </c>
      <c r="E10" s="30">
        <f>IF((E$2-Assumptions!$C$6+1)&lt;1,0,Assumptions!$B$6*INDEX($C$4:$DR$4,1,E$2-Assumptions!$C$6+1))</f>
        <v>0</v>
      </c>
      <c r="F10" s="30">
        <f>IF((F$2-Assumptions!$C$6+1)&lt;1,0,Assumptions!$B$6*INDEX($C$4:$DR$4,1,F$2-Assumptions!$C$6+1))</f>
        <v>0</v>
      </c>
      <c r="G10" s="30">
        <f>IF((G$2-Assumptions!$C$6+1)&lt;1,0,Assumptions!$B$6*INDEX($C$4:$DR$4,1,G$2-Assumptions!$C$6+1))</f>
        <v>0</v>
      </c>
      <c r="H10" s="30">
        <f>IF((H$2-Assumptions!$C$6+1)&lt;1,0,Assumptions!$B$6*INDEX($C$4:$DR$4,1,H$2-Assumptions!$C$6+1))</f>
        <v>0</v>
      </c>
      <c r="I10" s="30">
        <f>IF((I$2-Assumptions!$C$6+1)&lt;1,0,Assumptions!$B$6*INDEX($C$4:$DR$4,1,I$2-Assumptions!$C$6+1))</f>
        <v>0</v>
      </c>
      <c r="J10" s="30">
        <f>IF((J$2-Assumptions!$C$6+1)&lt;1,0,Assumptions!$B$6*INDEX($C$4:$DR$4,1,J$2-Assumptions!$C$6+1))</f>
        <v>0</v>
      </c>
      <c r="K10" s="30">
        <f>IF((K$2-Assumptions!$C$6+1)&lt;1,0,Assumptions!$B$6*INDEX($C$4:$DR$4,1,K$2-Assumptions!$C$6+1))</f>
        <v>0</v>
      </c>
      <c r="L10" s="30">
        <f>IF((L$2-Assumptions!$C$6+1)&lt;1,0,Assumptions!$B$6*INDEX($C$4:$DR$4,1,L$2-Assumptions!$C$6+1))</f>
        <v>0</v>
      </c>
      <c r="M10" s="30">
        <f>IF((M$2-Assumptions!$C$6+1)&lt;1,0,Assumptions!$B$6*INDEX($C$4:$DR$4,1,M$2-Assumptions!$C$6+1))</f>
        <v>0</v>
      </c>
      <c r="N10" s="30">
        <f>IF((N$2-Assumptions!$C$6+1)&lt;1,0,Assumptions!$B$6*INDEX($C$4:$DR$4,1,N$2-Assumptions!$C$6+1))</f>
        <v>0</v>
      </c>
      <c r="O10" s="30">
        <f>IF((O$2-Assumptions!$C$6+1)&lt;1,0,Assumptions!$B$6*INDEX($C$4:$DR$4,1,O$2-Assumptions!$C$6+1))</f>
        <v>0</v>
      </c>
      <c r="P10" s="30">
        <f>IF((P$2-Assumptions!$C$6+1)&lt;1,0,Assumptions!$B$6*INDEX($C$4:$DR$4,1,P$2-Assumptions!$C$6+1))</f>
        <v>0</v>
      </c>
      <c r="Q10" s="30">
        <f>IF((Q$2-Assumptions!$C$6+1)&lt;1,0,Assumptions!$B$6*INDEX($C$4:$DR$4,1,Q$2-Assumptions!$C$6+1))</f>
        <v>0</v>
      </c>
      <c r="R10" s="30">
        <f>IF((R$2-Assumptions!$C$6+1)&lt;1,0,Assumptions!$B$6*INDEX($C$4:$DR$4,1,R$2-Assumptions!$C$6+1))</f>
        <v>0</v>
      </c>
      <c r="S10" s="30">
        <f>IF((S$2-Assumptions!$C$6+1)&lt;1,0,Assumptions!$B$6*INDEX($C$4:$DR$4,1,S$2-Assumptions!$C$6+1))</f>
        <v>0</v>
      </c>
      <c r="T10" s="30">
        <f>IF((T$2-Assumptions!$C$6+1)&lt;1,0,Assumptions!$B$6*INDEX($C$4:$DR$4,1,T$2-Assumptions!$C$6+1))</f>
        <v>0</v>
      </c>
      <c r="U10" s="30">
        <f>IF((U$2-Assumptions!$C$6+1)&lt;1,0,Assumptions!$B$6*INDEX($C$4:$DR$4,1,U$2-Assumptions!$C$6+1))</f>
        <v>0</v>
      </c>
      <c r="V10" s="30">
        <f>IF((V$2-Assumptions!$C$6+1)&lt;1,0,Assumptions!$B$6*INDEX($C$4:$DR$4,1,V$2-Assumptions!$C$6+1))</f>
        <v>0</v>
      </c>
      <c r="W10" s="30">
        <f>IF((W$2-Assumptions!$C$6+1)&lt;1,0,Assumptions!$B$6*INDEX($C$4:$DR$4,1,W$2-Assumptions!$C$6+1))</f>
        <v>0</v>
      </c>
      <c r="X10" s="30">
        <f>IF((X$2-Assumptions!$C$6+1)&lt;1,0,Assumptions!$B$6*INDEX($C$4:$DR$4,1,X$2-Assumptions!$C$6+1))</f>
        <v>0</v>
      </c>
      <c r="Y10" s="30">
        <f>IF((Y$2-Assumptions!$C$6+1)&lt;1,0,Assumptions!$B$6*INDEX($C$4:$DR$4,1,Y$2-Assumptions!$C$6+1))</f>
        <v>0</v>
      </c>
      <c r="Z10" s="30">
        <f>IF((Z$2-Assumptions!$C$6+1)&lt;1,0,Assumptions!$B$6*INDEX($C$4:$DR$4,1,Z$2-Assumptions!$C$6+1))</f>
        <v>0</v>
      </c>
      <c r="AA10" s="30">
        <f>IF((AA$2-Assumptions!$C$6+1)&lt;1,0,Assumptions!$B$6*INDEX($C$4:$DR$4,1,AA$2-Assumptions!$C$6+1))</f>
        <v>0</v>
      </c>
      <c r="AB10" s="30">
        <f>IF((AB$2-Assumptions!$C$6+1)&lt;1,0,Assumptions!$B$6*INDEX($C$4:$DR$4,1,AB$2-Assumptions!$C$6+1))</f>
        <v>0</v>
      </c>
      <c r="AC10" s="30">
        <f>IF((AC$2-Assumptions!$C$6+1)&lt;1,0,Assumptions!$B$6*INDEX($C$4:$DR$4,1,AC$2-Assumptions!$C$6+1))</f>
        <v>0</v>
      </c>
      <c r="AD10" s="30">
        <f>IF((AD$2-Assumptions!$C$6+1)&lt;1,0,Assumptions!$B$6*INDEX($C$4:$DR$4,1,AD$2-Assumptions!$C$6+1))</f>
        <v>0</v>
      </c>
      <c r="AE10" s="30">
        <f>IF((AE$2-Assumptions!$C$6+1)&lt;1,0,Assumptions!$B$6*INDEX($C$4:$DR$4,1,AE$2-Assumptions!$C$6+1))</f>
        <v>0</v>
      </c>
      <c r="AF10" s="30">
        <f>IF((AF$2-Assumptions!$C$6+1)&lt;1,0,Assumptions!$B$6*INDEX($C$4:$DR$4,1,AF$2-Assumptions!$C$6+1))</f>
        <v>0</v>
      </c>
      <c r="AG10" s="30">
        <f>IF((AG$2-Assumptions!$C$6+1)&lt;1,0,Assumptions!$B$6*INDEX($C$4:$DR$4,1,AG$2-Assumptions!$C$6+1))</f>
        <v>0</v>
      </c>
      <c r="AH10" s="30">
        <f>IF((AH$2-Assumptions!$C$6+1)&lt;1,0,Assumptions!$B$6*INDEX($C$4:$DR$4,1,AH$2-Assumptions!$C$6+1))</f>
        <v>0</v>
      </c>
      <c r="AI10" s="30">
        <f>IF((AI$2-Assumptions!$C$6+1)&lt;1,0,Assumptions!$B$6*INDEX($C$4:$DR$4,1,AI$2-Assumptions!$C$6+1))</f>
        <v>0</v>
      </c>
      <c r="AJ10" s="30">
        <f>IF((AJ$2-Assumptions!$C$6+1)&lt;1,0,Assumptions!$B$6*INDEX($C$4:$DR$4,1,AJ$2-Assumptions!$C$6+1))</f>
        <v>0</v>
      </c>
      <c r="AK10" s="30">
        <f>IF((AK$2-Assumptions!$C$6+1)&lt;1,0,Assumptions!$B$6*INDEX($C$4:$DR$4,1,AK$2-Assumptions!$C$6+1))</f>
        <v>0</v>
      </c>
      <c r="AL10" s="30">
        <f>IF((AL$2-Assumptions!$C$6+1)&lt;1,0,Assumptions!$B$6*INDEX($C$4:$DR$4,1,AL$2-Assumptions!$C$6+1))</f>
        <v>0</v>
      </c>
      <c r="AM10" s="30">
        <f>IF((AM$2-Assumptions!$C$6+1)&lt;1,0,Assumptions!$B$6*INDEX($C$4:$DR$4,1,AM$2-Assumptions!$C$6+1))</f>
        <v>3750</v>
      </c>
      <c r="AN10" s="30">
        <f>IF((AN$2-Assumptions!$C$6+1)&lt;1,0,Assumptions!$B$6*INDEX($C$4:$DR$4,1,AN$2-Assumptions!$C$6+1))</f>
        <v>7500</v>
      </c>
      <c r="AO10" s="30">
        <f>IF((AO$2-Assumptions!$C$6+1)&lt;1,0,Assumptions!$B$6*INDEX($C$4:$DR$4,1,AO$2-Assumptions!$C$6+1))</f>
        <v>11250.000000000002</v>
      </c>
      <c r="AP10" s="30">
        <f>IF((AP$2-Assumptions!$C$6+1)&lt;1,0,Assumptions!$B$6*INDEX($C$4:$DR$4,1,AP$2-Assumptions!$C$6+1))</f>
        <v>15000</v>
      </c>
      <c r="AQ10" s="30">
        <f>IF((AQ$2-Assumptions!$C$6+1)&lt;1,0,Assumptions!$B$6*INDEX($C$4:$DR$4,1,AQ$2-Assumptions!$C$6+1))</f>
        <v>18750</v>
      </c>
      <c r="AR10" s="30">
        <f>IF((AR$2-Assumptions!$C$6+1)&lt;1,0,Assumptions!$B$6*INDEX($C$4:$DR$4,1,AR$2-Assumptions!$C$6+1))</f>
        <v>22500.000000000004</v>
      </c>
      <c r="AS10" s="30">
        <f>IF((AS$2-Assumptions!$C$6+1)&lt;1,0,Assumptions!$B$6*INDEX($C$4:$DR$4,1,AS$2-Assumptions!$C$6+1))</f>
        <v>26250</v>
      </c>
      <c r="AT10" s="30">
        <f>IF((AT$2-Assumptions!$C$6+1)&lt;1,0,Assumptions!$B$6*INDEX($C$4:$DR$4,1,AT$2-Assumptions!$C$6+1))</f>
        <v>30000</v>
      </c>
      <c r="AU10" s="30">
        <f>IF((AU$2-Assumptions!$C$6+1)&lt;1,0,Assumptions!$B$6*INDEX($C$4:$DR$4,1,AU$2-Assumptions!$C$6+1))</f>
        <v>33750</v>
      </c>
      <c r="AV10" s="30">
        <f>IF((AV$2-Assumptions!$C$6+1)&lt;1,0,Assumptions!$B$6*INDEX($C$4:$DR$4,1,AV$2-Assumptions!$C$6+1))</f>
        <v>37500</v>
      </c>
      <c r="AW10" s="30">
        <f>IF((AW$2-Assumptions!$C$6+1)&lt;1,0,Assumptions!$B$6*INDEX($C$4:$DR$4,1,AW$2-Assumptions!$C$6+1))</f>
        <v>41250</v>
      </c>
      <c r="AX10" s="30">
        <f>IF((AX$2-Assumptions!$C$6+1)&lt;1,0,Assumptions!$B$6*INDEX($C$4:$DR$4,1,AX$2-Assumptions!$C$6+1))</f>
        <v>45000.000000000007</v>
      </c>
      <c r="AY10" s="30">
        <f>IF((AY$2-Assumptions!$C$6+1)&lt;1,0,Assumptions!$B$6*INDEX($C$4:$DR$4,1,AY$2-Assumptions!$C$6+1))</f>
        <v>48750</v>
      </c>
      <c r="AZ10" s="30">
        <f>IF((AZ$2-Assumptions!$C$6+1)&lt;1,0,Assumptions!$B$6*INDEX($C$4:$DR$4,1,AZ$2-Assumptions!$C$6+1))</f>
        <v>52500</v>
      </c>
      <c r="BA10" s="30">
        <f>IF((BA$2-Assumptions!$C$6+1)&lt;1,0,Assumptions!$B$6*INDEX($C$4:$DR$4,1,BA$2-Assumptions!$C$6+1))</f>
        <v>56250</v>
      </c>
      <c r="BB10" s="30">
        <f>IF((BB$2-Assumptions!$C$6+1)&lt;1,0,Assumptions!$B$6*INDEX($C$4:$DR$4,1,BB$2-Assumptions!$C$6+1))</f>
        <v>60000</v>
      </c>
      <c r="BC10" s="30">
        <f>IF((BC$2-Assumptions!$C$6+1)&lt;1,0,Assumptions!$B$6*INDEX($C$4:$DR$4,1,BC$2-Assumptions!$C$6+1))</f>
        <v>63750.000000000007</v>
      </c>
      <c r="BD10" s="30">
        <f>IF((BD$2-Assumptions!$C$6+1)&lt;1,0,Assumptions!$B$6*INDEX($C$4:$DR$4,1,BD$2-Assumptions!$C$6+1))</f>
        <v>67500</v>
      </c>
      <c r="BE10" s="30">
        <f>IF((BE$2-Assumptions!$C$6+1)&lt;1,0,Assumptions!$B$6*INDEX($C$4:$DR$4,1,BE$2-Assumptions!$C$6+1))</f>
        <v>71250</v>
      </c>
      <c r="BF10" s="30">
        <f>IF((BF$2-Assumptions!$C$6+1)&lt;1,0,Assumptions!$B$6*INDEX($C$4:$DR$4,1,BF$2-Assumptions!$C$6+1))</f>
        <v>75000</v>
      </c>
      <c r="BG10" s="30">
        <f>IF((BG$2-Assumptions!$C$6+1)&lt;1,0,Assumptions!$B$6*INDEX($C$4:$DR$4,1,BG$2-Assumptions!$C$6+1))</f>
        <v>78750</v>
      </c>
      <c r="BH10" s="30">
        <f>IF((BH$2-Assumptions!$C$6+1)&lt;1,0,Assumptions!$B$6*INDEX($C$4:$DR$4,1,BH$2-Assumptions!$C$6+1))</f>
        <v>82500</v>
      </c>
      <c r="BI10" s="30">
        <f>IF((BI$2-Assumptions!$C$6+1)&lt;1,0,Assumptions!$B$6*INDEX($C$4:$DR$4,1,BI$2-Assumptions!$C$6+1))</f>
        <v>86250</v>
      </c>
      <c r="BJ10" s="30">
        <f>IF((BJ$2-Assumptions!$C$6+1)&lt;1,0,Assumptions!$B$6*INDEX($C$4:$DR$4,1,BJ$2-Assumptions!$C$6+1))</f>
        <v>90000.000000000015</v>
      </c>
      <c r="BK10" s="30">
        <f>IF((BK$2-Assumptions!$C$6+1)&lt;1,0,Assumptions!$B$6*INDEX($C$4:$DR$4,1,BK$2-Assumptions!$C$6+1))</f>
        <v>93750</v>
      </c>
      <c r="BL10" s="30">
        <f>IF((BL$2-Assumptions!$C$6+1)&lt;1,0,Assumptions!$B$6*INDEX($C$4:$DR$4,1,BL$2-Assumptions!$C$6+1))</f>
        <v>97500</v>
      </c>
      <c r="BM10" s="30">
        <f>IF((BM$2-Assumptions!$C$6+1)&lt;1,0,Assumptions!$B$6*INDEX($C$4:$DR$4,1,BM$2-Assumptions!$C$6+1))</f>
        <v>101250</v>
      </c>
      <c r="BN10" s="30">
        <f>IF((BN$2-Assumptions!$C$6+1)&lt;1,0,Assumptions!$B$6*INDEX($C$4:$DR$4,1,BN$2-Assumptions!$C$6+1))</f>
        <v>105000</v>
      </c>
      <c r="BO10" s="30">
        <f>IF((BO$2-Assumptions!$C$6+1)&lt;1,0,Assumptions!$B$6*INDEX($C$4:$DR$4,1,BO$2-Assumptions!$C$6+1))</f>
        <v>108750.00000000001</v>
      </c>
      <c r="BP10" s="30">
        <f>IF((BP$2-Assumptions!$C$6+1)&lt;1,0,Assumptions!$B$6*INDEX($C$4:$DR$4,1,BP$2-Assumptions!$C$6+1))</f>
        <v>112500</v>
      </c>
      <c r="BQ10" s="30">
        <f>IF((BQ$2-Assumptions!$C$6+1)&lt;1,0,Assumptions!$B$6*INDEX($C$4:$DR$4,1,BQ$2-Assumptions!$C$6+1))</f>
        <v>116250</v>
      </c>
      <c r="BR10" s="30">
        <f>IF((BR$2-Assumptions!$C$6+1)&lt;1,0,Assumptions!$B$6*INDEX($C$4:$DR$4,1,BR$2-Assumptions!$C$6+1))</f>
        <v>120000</v>
      </c>
      <c r="BS10" s="30">
        <f>IF((BS$2-Assumptions!$C$6+1)&lt;1,0,Assumptions!$B$6*INDEX($C$4:$DR$4,1,BS$2-Assumptions!$C$6+1))</f>
        <v>123750</v>
      </c>
      <c r="BT10" s="30">
        <f>IF((BT$2-Assumptions!$C$6+1)&lt;1,0,Assumptions!$B$6*INDEX($C$4:$DR$4,1,BT$2-Assumptions!$C$6+1))</f>
        <v>127500.00000000001</v>
      </c>
      <c r="BU10" s="30">
        <f>IF((BU$2-Assumptions!$C$6+1)&lt;1,0,Assumptions!$B$6*INDEX($C$4:$DR$4,1,BU$2-Assumptions!$C$6+1))</f>
        <v>131250</v>
      </c>
      <c r="BV10" s="30">
        <f>IF((BV$2-Assumptions!$C$6+1)&lt;1,0,Assumptions!$B$6*INDEX($C$4:$DR$4,1,BV$2-Assumptions!$C$6+1))</f>
        <v>135000</v>
      </c>
      <c r="BW10" s="30">
        <f>IF((BW$2-Assumptions!$C$6+1)&lt;1,0,Assumptions!$B$6*INDEX($C$4:$DR$4,1,BW$2-Assumptions!$C$6+1))</f>
        <v>135000</v>
      </c>
      <c r="BX10" s="30">
        <f>IF((BX$2-Assumptions!$C$6+1)&lt;1,0,Assumptions!$B$6*INDEX($C$4:$DR$4,1,BX$2-Assumptions!$C$6+1))</f>
        <v>135000</v>
      </c>
      <c r="BY10" s="30">
        <f>IF((BY$2-Assumptions!$C$6+1)&lt;1,0,Assumptions!$B$6*INDEX($C$4:$DR$4,1,BY$2-Assumptions!$C$6+1))</f>
        <v>135000</v>
      </c>
      <c r="BZ10" s="30">
        <f>IF((BZ$2-Assumptions!$C$6+1)&lt;1,0,Assumptions!$B$6*INDEX($C$4:$DR$4,1,BZ$2-Assumptions!$C$6+1))</f>
        <v>135000</v>
      </c>
      <c r="CA10" s="30">
        <f>IF((CA$2-Assumptions!$C$6+1)&lt;1,0,Assumptions!$B$6*INDEX($C$4:$DR$4,1,CA$2-Assumptions!$C$6+1))</f>
        <v>135000</v>
      </c>
      <c r="CB10" s="30">
        <f>IF((CB$2-Assumptions!$C$6+1)&lt;1,0,Assumptions!$B$6*INDEX($C$4:$DR$4,1,CB$2-Assumptions!$C$6+1))</f>
        <v>135000</v>
      </c>
      <c r="CC10" s="30">
        <f>IF((CC$2-Assumptions!$C$6+1)&lt;1,0,Assumptions!$B$6*INDEX($C$4:$DR$4,1,CC$2-Assumptions!$C$6+1))</f>
        <v>135000</v>
      </c>
      <c r="CD10" s="30">
        <f>IF((CD$2-Assumptions!$C$6+1)&lt;1,0,Assumptions!$B$6*INDEX($C$4:$DR$4,1,CD$2-Assumptions!$C$6+1))</f>
        <v>135000</v>
      </c>
      <c r="CE10" s="30">
        <f>IF((CE$2-Assumptions!$C$6+1)&lt;1,0,Assumptions!$B$6*INDEX($C$4:$DR$4,1,CE$2-Assumptions!$C$6+1))</f>
        <v>135000</v>
      </c>
      <c r="CF10" s="30">
        <f>IF((CF$2-Assumptions!$C$6+1)&lt;1,0,Assumptions!$B$6*INDEX($C$4:$DR$4,1,CF$2-Assumptions!$C$6+1))</f>
        <v>135000</v>
      </c>
      <c r="CG10" s="30">
        <f>IF((CG$2-Assumptions!$C$6+1)&lt;1,0,Assumptions!$B$6*INDEX($C$4:$DR$4,1,CG$2-Assumptions!$C$6+1))</f>
        <v>135000</v>
      </c>
      <c r="CH10" s="30">
        <f>IF((CH$2-Assumptions!$C$6+1)&lt;1,0,Assumptions!$B$6*INDEX($C$4:$DR$4,1,CH$2-Assumptions!$C$6+1))</f>
        <v>135000</v>
      </c>
      <c r="CI10" s="30">
        <f>IF((CI$2-Assumptions!$C$6+1)&lt;1,0,Assumptions!$B$6*INDEX($C$4:$DR$4,1,CI$2-Assumptions!$C$6+1))</f>
        <v>135000</v>
      </c>
      <c r="CJ10" s="30">
        <f>IF((CJ$2-Assumptions!$C$6+1)&lt;1,0,Assumptions!$B$6*INDEX($C$4:$DR$4,1,CJ$2-Assumptions!$C$6+1))</f>
        <v>135000</v>
      </c>
      <c r="CK10" s="30">
        <f>IF((CK$2-Assumptions!$C$6+1)&lt;1,0,Assumptions!$B$6*INDEX($C$4:$DR$4,1,CK$2-Assumptions!$C$6+1))</f>
        <v>135000</v>
      </c>
      <c r="CL10" s="30">
        <f>IF((CL$2-Assumptions!$C$6+1)&lt;1,0,Assumptions!$B$6*INDEX($C$4:$DR$4,1,CL$2-Assumptions!$C$6+1))</f>
        <v>135000</v>
      </c>
      <c r="CM10" s="30">
        <f>IF((CM$2-Assumptions!$C$6+1)&lt;1,0,Assumptions!$B$6*INDEX($C$4:$DR$4,1,CM$2-Assumptions!$C$6+1))</f>
        <v>135000</v>
      </c>
      <c r="CN10" s="30">
        <f>IF((CN$2-Assumptions!$C$6+1)&lt;1,0,Assumptions!$B$6*INDEX($C$4:$DR$4,1,CN$2-Assumptions!$C$6+1))</f>
        <v>135000</v>
      </c>
      <c r="CO10" s="30">
        <f>IF((CO$2-Assumptions!$C$6+1)&lt;1,0,Assumptions!$B$6*INDEX($C$4:$DR$4,1,CO$2-Assumptions!$C$6+1))</f>
        <v>135000</v>
      </c>
      <c r="CP10" s="30">
        <f>IF((CP$2-Assumptions!$C$6+1)&lt;1,0,Assumptions!$B$6*INDEX($C$4:$DR$4,1,CP$2-Assumptions!$C$6+1))</f>
        <v>135000</v>
      </c>
      <c r="CQ10" s="30">
        <f>IF((CQ$2-Assumptions!$C$6+1)&lt;1,0,Assumptions!$B$6*INDEX($C$4:$DR$4,1,CQ$2-Assumptions!$C$6+1))</f>
        <v>135000</v>
      </c>
      <c r="CR10" s="30">
        <f>IF((CR$2-Assumptions!$C$6+1)&lt;1,0,Assumptions!$B$6*INDEX($C$4:$DR$4,1,CR$2-Assumptions!$C$6+1))</f>
        <v>135000</v>
      </c>
      <c r="CS10" s="30">
        <f>IF((CS$2-Assumptions!$C$6+1)&lt;1,0,Assumptions!$B$6*INDEX($C$4:$DR$4,1,CS$2-Assumptions!$C$6+1))</f>
        <v>135000</v>
      </c>
      <c r="CT10" s="30">
        <f>IF((CT$2-Assumptions!$C$6+1)&lt;1,0,Assumptions!$B$6*INDEX($C$4:$DR$4,1,CT$2-Assumptions!$C$6+1))</f>
        <v>135000</v>
      </c>
      <c r="CU10" s="30">
        <f>IF((CU$2-Assumptions!$C$6+1)&lt;1,0,Assumptions!$B$6*INDEX($C$4:$DR$4,1,CU$2-Assumptions!$C$6+1))</f>
        <v>135000</v>
      </c>
      <c r="CV10" s="30">
        <f>IF((CV$2-Assumptions!$C$6+1)&lt;1,0,Assumptions!$B$6*INDEX($C$4:$DR$4,1,CV$2-Assumptions!$C$6+1))</f>
        <v>135000</v>
      </c>
      <c r="CW10" s="30">
        <f>IF((CW$2-Assumptions!$C$6+1)&lt;1,0,Assumptions!$B$6*INDEX($C$4:$DR$4,1,CW$2-Assumptions!$C$6+1))</f>
        <v>135000</v>
      </c>
      <c r="CX10" s="30">
        <f>IF((CX$2-Assumptions!$C$6+1)&lt;1,0,Assumptions!$B$6*INDEX($C$4:$DR$4,1,CX$2-Assumptions!$C$6+1))</f>
        <v>135000</v>
      </c>
      <c r="CY10" s="30">
        <f>IF((CY$2-Assumptions!$C$6+1)&lt;1,0,Assumptions!$B$6*INDEX($C$4:$DR$4,1,CY$2-Assumptions!$C$6+1))</f>
        <v>135000</v>
      </c>
      <c r="CZ10" s="30">
        <f>IF((CZ$2-Assumptions!$C$6+1)&lt;1,0,Assumptions!$B$6*INDEX($C$4:$DR$4,1,CZ$2-Assumptions!$C$6+1))</f>
        <v>135000</v>
      </c>
      <c r="DA10" s="30">
        <f>IF((DA$2-Assumptions!$C$6+1)&lt;1,0,Assumptions!$B$6*INDEX($C$4:$DR$4,1,DA$2-Assumptions!$C$6+1))</f>
        <v>135000</v>
      </c>
      <c r="DB10" s="30">
        <f>IF((DB$2-Assumptions!$C$6+1)&lt;1,0,Assumptions!$B$6*INDEX($C$4:$DR$4,1,DB$2-Assumptions!$C$6+1))</f>
        <v>135000</v>
      </c>
      <c r="DC10" s="30">
        <f>IF((DC$2-Assumptions!$C$6+1)&lt;1,0,Assumptions!$B$6*INDEX($C$4:$DR$4,1,DC$2-Assumptions!$C$6+1))</f>
        <v>135000</v>
      </c>
      <c r="DD10" s="30">
        <f>IF((DD$2-Assumptions!$C$6+1)&lt;1,0,Assumptions!$B$6*INDEX($C$4:$DR$4,1,DD$2-Assumptions!$C$6+1))</f>
        <v>135000</v>
      </c>
      <c r="DE10" s="30">
        <f>IF((DE$2-Assumptions!$C$6+1)&lt;1,0,Assumptions!$B$6*INDEX($C$4:$DR$4,1,DE$2-Assumptions!$C$6+1))</f>
        <v>135000</v>
      </c>
      <c r="DF10" s="30">
        <f>IF((DF$2-Assumptions!$C$6+1)&lt;1,0,Assumptions!$B$6*INDEX($C$4:$DR$4,1,DF$2-Assumptions!$C$6+1))</f>
        <v>135000</v>
      </c>
      <c r="DG10" s="30">
        <f>IF((DG$2-Assumptions!$C$6+1)&lt;1,0,Assumptions!$B$6*INDEX($C$4:$DR$4,1,DG$2-Assumptions!$C$6+1))</f>
        <v>135000</v>
      </c>
      <c r="DH10" s="30">
        <f>IF((DH$2-Assumptions!$C$6+1)&lt;1,0,Assumptions!$B$6*INDEX($C$4:$DR$4,1,DH$2-Assumptions!$C$6+1))</f>
        <v>135000</v>
      </c>
      <c r="DI10" s="30">
        <f>IF((DI$2-Assumptions!$C$6+1)&lt;1,0,Assumptions!$B$6*INDEX($C$4:$DR$4,1,DI$2-Assumptions!$C$6+1))</f>
        <v>135000</v>
      </c>
      <c r="DJ10" s="30">
        <f>IF((DJ$2-Assumptions!$C$6+1)&lt;1,0,Assumptions!$B$6*INDEX($C$4:$DR$4,1,DJ$2-Assumptions!$C$6+1))</f>
        <v>135000</v>
      </c>
      <c r="DK10" s="30">
        <f>IF((DK$2-Assumptions!$C$6+1)&lt;1,0,Assumptions!$B$6*INDEX($C$4:$DR$4,1,DK$2-Assumptions!$C$6+1))</f>
        <v>135000</v>
      </c>
      <c r="DL10" s="30">
        <f>IF((DL$2-Assumptions!$C$6+1)&lt;1,0,Assumptions!$B$6*INDEX($C$4:$DR$4,1,DL$2-Assumptions!$C$6+1))</f>
        <v>135000</v>
      </c>
      <c r="DM10" s="30">
        <f>IF((DM$2-Assumptions!$C$6+1)&lt;1,0,Assumptions!$B$6*INDEX($C$4:$DR$4,1,DM$2-Assumptions!$C$6+1))</f>
        <v>135000</v>
      </c>
      <c r="DN10" s="30">
        <f>IF((DN$2-Assumptions!$C$6+1)&lt;1,0,Assumptions!$B$6*INDEX($C$4:$DR$4,1,DN$2-Assumptions!$C$6+1))</f>
        <v>135000</v>
      </c>
      <c r="DO10" s="30">
        <f>IF((DO$2-Assumptions!$C$6+1)&lt;1,0,Assumptions!$B$6*INDEX($C$4:$DR$4,1,DO$2-Assumptions!$C$6+1))</f>
        <v>135000</v>
      </c>
      <c r="DP10" s="30">
        <f>IF((DP$2-Assumptions!$C$6+1)&lt;1,0,Assumptions!$B$6*INDEX($C$4:$DR$4,1,DP$2-Assumptions!$C$6+1))</f>
        <v>135000</v>
      </c>
      <c r="DQ10" s="30">
        <f>IF((DQ$2-Assumptions!$C$6+1)&lt;1,0,Assumptions!$B$6*INDEX($C$4:$DR$4,1,DQ$2-Assumptions!$C$6+1))</f>
        <v>135000</v>
      </c>
      <c r="DR10" s="30">
        <f>IF((DR$2-Assumptions!$C$6+1)&lt;1,0,Assumptions!$B$6*INDEX($C$4:$DR$4,1,DR$2-Assumptions!$C$6+1))</f>
        <v>135000</v>
      </c>
    </row>
    <row r="11" spans="1:122" x14ac:dyDescent="0.2">
      <c r="A11" s="9" t="s">
        <v>84</v>
      </c>
      <c r="C11" s="30">
        <f>IF((C$2-Assumptions!$C$7+1)&lt;1,0,Assumptions!$B$7*INDEX($C$4:$DR$4,1,C$2-Assumptions!$C$7+1))</f>
        <v>0</v>
      </c>
      <c r="D11" s="30">
        <f>IF((D$2-Assumptions!$C$7+1)&lt;1,0,Assumptions!$B$7*INDEX($C$4:$DR$4,1,D$2-Assumptions!$C$7+1))</f>
        <v>0</v>
      </c>
      <c r="E11" s="30">
        <f>IF((E$2-Assumptions!$C$7+1)&lt;1,0,Assumptions!$B$7*INDEX($C$4:$DR$4,1,E$2-Assumptions!$C$7+1))</f>
        <v>0</v>
      </c>
      <c r="F11" s="30">
        <f>IF((F$2-Assumptions!$C$7+1)&lt;1,0,Assumptions!$B$7*INDEX($C$4:$DR$4,1,F$2-Assumptions!$C$7+1))</f>
        <v>0</v>
      </c>
      <c r="G11" s="30">
        <f>IF((G$2-Assumptions!$C$7+1)&lt;1,0,Assumptions!$B$7*INDEX($C$4:$DR$4,1,G$2-Assumptions!$C$7+1))</f>
        <v>0</v>
      </c>
      <c r="H11" s="30">
        <f>IF((H$2-Assumptions!$C$7+1)&lt;1,0,Assumptions!$B$7*INDEX($C$4:$DR$4,1,H$2-Assumptions!$C$7+1))</f>
        <v>0</v>
      </c>
      <c r="I11" s="30">
        <f>IF((I$2-Assumptions!$C$7+1)&lt;1,0,Assumptions!$B$7*INDEX($C$4:$DR$4,1,I$2-Assumptions!$C$7+1))</f>
        <v>0</v>
      </c>
      <c r="J11" s="30">
        <f>IF((J$2-Assumptions!$C$7+1)&lt;1,0,Assumptions!$B$7*INDEX($C$4:$DR$4,1,J$2-Assumptions!$C$7+1))</f>
        <v>0</v>
      </c>
      <c r="K11" s="30">
        <f>IF((K$2-Assumptions!$C$7+1)&lt;1,0,Assumptions!$B$7*INDEX($C$4:$DR$4,1,K$2-Assumptions!$C$7+1))</f>
        <v>0</v>
      </c>
      <c r="L11" s="30">
        <f>IF((L$2-Assumptions!$C$7+1)&lt;1,0,Assumptions!$B$7*INDEX($C$4:$DR$4,1,L$2-Assumptions!$C$7+1))</f>
        <v>0</v>
      </c>
      <c r="M11" s="30">
        <f>IF((M$2-Assumptions!$C$7+1)&lt;1,0,Assumptions!$B$7*INDEX($C$4:$DR$4,1,M$2-Assumptions!$C$7+1))</f>
        <v>0</v>
      </c>
      <c r="N11" s="30">
        <f>IF((N$2-Assumptions!$C$7+1)&lt;1,0,Assumptions!$B$7*INDEX($C$4:$DR$4,1,N$2-Assumptions!$C$7+1))</f>
        <v>0</v>
      </c>
      <c r="O11" s="30">
        <f>IF((O$2-Assumptions!$C$7+1)&lt;1,0,Assumptions!$B$7*INDEX($C$4:$DR$4,1,O$2-Assumptions!$C$7+1))</f>
        <v>0</v>
      </c>
      <c r="P11" s="30">
        <f>IF((P$2-Assumptions!$C$7+1)&lt;1,0,Assumptions!$B$7*INDEX($C$4:$DR$4,1,P$2-Assumptions!$C$7+1))</f>
        <v>0</v>
      </c>
      <c r="Q11" s="30">
        <f>IF((Q$2-Assumptions!$C$7+1)&lt;1,0,Assumptions!$B$7*INDEX($C$4:$DR$4,1,Q$2-Assumptions!$C$7+1))</f>
        <v>0</v>
      </c>
      <c r="R11" s="30">
        <f>IF((R$2-Assumptions!$C$7+1)&lt;1,0,Assumptions!$B$7*INDEX($C$4:$DR$4,1,R$2-Assumptions!$C$7+1))</f>
        <v>0</v>
      </c>
      <c r="S11" s="30">
        <f>IF((S$2-Assumptions!$C$7+1)&lt;1,0,Assumptions!$B$7*INDEX($C$4:$DR$4,1,S$2-Assumptions!$C$7+1))</f>
        <v>0</v>
      </c>
      <c r="T11" s="30">
        <f>IF((T$2-Assumptions!$C$7+1)&lt;1,0,Assumptions!$B$7*INDEX($C$4:$DR$4,1,T$2-Assumptions!$C$7+1))</f>
        <v>0</v>
      </c>
      <c r="U11" s="30">
        <f>IF((U$2-Assumptions!$C$7+1)&lt;1,0,Assumptions!$B$7*INDEX($C$4:$DR$4,1,U$2-Assumptions!$C$7+1))</f>
        <v>0</v>
      </c>
      <c r="V11" s="30">
        <f>IF((V$2-Assumptions!$C$7+1)&lt;1,0,Assumptions!$B$7*INDEX($C$4:$DR$4,1,V$2-Assumptions!$C$7+1))</f>
        <v>0</v>
      </c>
      <c r="W11" s="30">
        <f>IF((W$2-Assumptions!$C$7+1)&lt;1,0,Assumptions!$B$7*INDEX($C$4:$DR$4,1,W$2-Assumptions!$C$7+1))</f>
        <v>0</v>
      </c>
      <c r="X11" s="30">
        <f>IF((X$2-Assumptions!$C$7+1)&lt;1,0,Assumptions!$B$7*INDEX($C$4:$DR$4,1,X$2-Assumptions!$C$7+1))</f>
        <v>0</v>
      </c>
      <c r="Y11" s="30">
        <f>IF((Y$2-Assumptions!$C$7+1)&lt;1,0,Assumptions!$B$7*INDEX($C$4:$DR$4,1,Y$2-Assumptions!$C$7+1))</f>
        <v>0</v>
      </c>
      <c r="Z11" s="30">
        <f>IF((Z$2-Assumptions!$C$7+1)&lt;1,0,Assumptions!$B$7*INDEX($C$4:$DR$4,1,Z$2-Assumptions!$C$7+1))</f>
        <v>0</v>
      </c>
      <c r="AA11" s="30">
        <f>IF((AA$2-Assumptions!$C$7+1)&lt;1,0,Assumptions!$B$7*INDEX($C$4:$DR$4,1,AA$2-Assumptions!$C$7+1))</f>
        <v>0</v>
      </c>
      <c r="AB11" s="30">
        <f>IF((AB$2-Assumptions!$C$7+1)&lt;1,0,Assumptions!$B$7*INDEX($C$4:$DR$4,1,AB$2-Assumptions!$C$7+1))</f>
        <v>0</v>
      </c>
      <c r="AC11" s="30">
        <f>IF((AC$2-Assumptions!$C$7+1)&lt;1,0,Assumptions!$B$7*INDEX($C$4:$DR$4,1,AC$2-Assumptions!$C$7+1))</f>
        <v>0</v>
      </c>
      <c r="AD11" s="30">
        <f>IF((AD$2-Assumptions!$C$7+1)&lt;1,0,Assumptions!$B$7*INDEX($C$4:$DR$4,1,AD$2-Assumptions!$C$7+1))</f>
        <v>0</v>
      </c>
      <c r="AE11" s="30">
        <f>IF((AE$2-Assumptions!$C$7+1)&lt;1,0,Assumptions!$B$7*INDEX($C$4:$DR$4,1,AE$2-Assumptions!$C$7+1))</f>
        <v>0</v>
      </c>
      <c r="AF11" s="30">
        <f>IF((AF$2-Assumptions!$C$7+1)&lt;1,0,Assumptions!$B$7*INDEX($C$4:$DR$4,1,AF$2-Assumptions!$C$7+1))</f>
        <v>0</v>
      </c>
      <c r="AG11" s="30">
        <f>IF((AG$2-Assumptions!$C$7+1)&lt;1,0,Assumptions!$B$7*INDEX($C$4:$DR$4,1,AG$2-Assumptions!$C$7+1))</f>
        <v>0</v>
      </c>
      <c r="AH11" s="30">
        <f>IF((AH$2-Assumptions!$C$7+1)&lt;1,0,Assumptions!$B$7*INDEX($C$4:$DR$4,1,AH$2-Assumptions!$C$7+1))</f>
        <v>0</v>
      </c>
      <c r="AI11" s="30">
        <f>IF((AI$2-Assumptions!$C$7+1)&lt;1,0,Assumptions!$B$7*INDEX($C$4:$DR$4,1,AI$2-Assumptions!$C$7+1))</f>
        <v>0</v>
      </c>
      <c r="AJ11" s="30">
        <f>IF((AJ$2-Assumptions!$C$7+1)&lt;1,0,Assumptions!$B$7*INDEX($C$4:$DR$4,1,AJ$2-Assumptions!$C$7+1))</f>
        <v>0</v>
      </c>
      <c r="AK11" s="30">
        <f>IF((AK$2-Assumptions!$C$7+1)&lt;1,0,Assumptions!$B$7*INDEX($C$4:$DR$4,1,AK$2-Assumptions!$C$7+1))</f>
        <v>0</v>
      </c>
      <c r="AL11" s="30">
        <f>IF((AL$2-Assumptions!$C$7+1)&lt;1,0,Assumptions!$B$7*INDEX($C$4:$DR$4,1,AL$2-Assumptions!$C$7+1))</f>
        <v>0</v>
      </c>
      <c r="AM11" s="30">
        <f>IF((AM$2-Assumptions!$C$7+1)&lt;1,0,Assumptions!$B$7*INDEX($C$4:$DR$4,1,AM$2-Assumptions!$C$7+1))</f>
        <v>0</v>
      </c>
      <c r="AN11" s="30">
        <f>IF((AN$2-Assumptions!$C$7+1)&lt;1,0,Assumptions!$B$7*INDEX($C$4:$DR$4,1,AN$2-Assumptions!$C$7+1))</f>
        <v>0</v>
      </c>
      <c r="AO11" s="30">
        <f>IF((AO$2-Assumptions!$C$7+1)&lt;1,0,Assumptions!$B$7*INDEX($C$4:$DR$4,1,AO$2-Assumptions!$C$7+1))</f>
        <v>0</v>
      </c>
      <c r="AP11" s="30">
        <f>IF((AP$2-Assumptions!$C$7+1)&lt;1,0,Assumptions!$B$7*INDEX($C$4:$DR$4,1,AP$2-Assumptions!$C$7+1))</f>
        <v>0</v>
      </c>
      <c r="AQ11" s="30">
        <f>IF((AQ$2-Assumptions!$C$7+1)&lt;1,0,Assumptions!$B$7*INDEX($C$4:$DR$4,1,AQ$2-Assumptions!$C$7+1))</f>
        <v>0</v>
      </c>
      <c r="AR11" s="30">
        <f>IF((AR$2-Assumptions!$C$7+1)&lt;1,0,Assumptions!$B$7*INDEX($C$4:$DR$4,1,AR$2-Assumptions!$C$7+1))</f>
        <v>0</v>
      </c>
      <c r="AS11" s="30">
        <f>IF((AS$2-Assumptions!$C$7+1)&lt;1,0,Assumptions!$B$7*INDEX($C$4:$DR$4,1,AS$2-Assumptions!$C$7+1))</f>
        <v>0</v>
      </c>
      <c r="AT11" s="30">
        <f>IF((AT$2-Assumptions!$C$7+1)&lt;1,0,Assumptions!$B$7*INDEX($C$4:$DR$4,1,AT$2-Assumptions!$C$7+1))</f>
        <v>0</v>
      </c>
      <c r="AU11" s="30">
        <f>IF((AU$2-Assumptions!$C$7+1)&lt;1,0,Assumptions!$B$7*INDEX($C$4:$DR$4,1,AU$2-Assumptions!$C$7+1))</f>
        <v>0</v>
      </c>
      <c r="AV11" s="30">
        <f>IF((AV$2-Assumptions!$C$7+1)&lt;1,0,Assumptions!$B$7*INDEX($C$4:$DR$4,1,AV$2-Assumptions!$C$7+1))</f>
        <v>0</v>
      </c>
      <c r="AW11" s="30">
        <f>IF((AW$2-Assumptions!$C$7+1)&lt;1,0,Assumptions!$B$7*INDEX($C$4:$DR$4,1,AW$2-Assumptions!$C$7+1))</f>
        <v>0</v>
      </c>
      <c r="AX11" s="30">
        <f>IF((AX$2-Assumptions!$C$7+1)&lt;1,0,Assumptions!$B$7*INDEX($C$4:$DR$4,1,AX$2-Assumptions!$C$7+1))</f>
        <v>0</v>
      </c>
      <c r="AY11" s="30">
        <f>IF((AY$2-Assumptions!$C$7+1)&lt;1,0,Assumptions!$B$7*INDEX($C$4:$DR$4,1,AY$2-Assumptions!$C$7+1))</f>
        <v>6250</v>
      </c>
      <c r="AZ11" s="30">
        <f>IF((AZ$2-Assumptions!$C$7+1)&lt;1,0,Assumptions!$B$7*INDEX($C$4:$DR$4,1,AZ$2-Assumptions!$C$7+1))</f>
        <v>12500</v>
      </c>
      <c r="BA11" s="30">
        <f>IF((BA$2-Assumptions!$C$7+1)&lt;1,0,Assumptions!$B$7*INDEX($C$4:$DR$4,1,BA$2-Assumptions!$C$7+1))</f>
        <v>18750.000000000004</v>
      </c>
      <c r="BB11" s="30">
        <f>IF((BB$2-Assumptions!$C$7+1)&lt;1,0,Assumptions!$B$7*INDEX($C$4:$DR$4,1,BB$2-Assumptions!$C$7+1))</f>
        <v>25000</v>
      </c>
      <c r="BC11" s="30">
        <f>IF((BC$2-Assumptions!$C$7+1)&lt;1,0,Assumptions!$B$7*INDEX($C$4:$DR$4,1,BC$2-Assumptions!$C$7+1))</f>
        <v>31250</v>
      </c>
      <c r="BD11" s="30">
        <f>IF((BD$2-Assumptions!$C$7+1)&lt;1,0,Assumptions!$B$7*INDEX($C$4:$DR$4,1,BD$2-Assumptions!$C$7+1))</f>
        <v>37500.000000000007</v>
      </c>
      <c r="BE11" s="30">
        <f>IF((BE$2-Assumptions!$C$7+1)&lt;1,0,Assumptions!$B$7*INDEX($C$4:$DR$4,1,BE$2-Assumptions!$C$7+1))</f>
        <v>43750</v>
      </c>
      <c r="BF11" s="30">
        <f>IF((BF$2-Assumptions!$C$7+1)&lt;1,0,Assumptions!$B$7*INDEX($C$4:$DR$4,1,BF$2-Assumptions!$C$7+1))</f>
        <v>50000</v>
      </c>
      <c r="BG11" s="30">
        <f>IF((BG$2-Assumptions!$C$7+1)&lt;1,0,Assumptions!$B$7*INDEX($C$4:$DR$4,1,BG$2-Assumptions!$C$7+1))</f>
        <v>56249.999999999993</v>
      </c>
      <c r="BH11" s="30">
        <f>IF((BH$2-Assumptions!$C$7+1)&lt;1,0,Assumptions!$B$7*INDEX($C$4:$DR$4,1,BH$2-Assumptions!$C$7+1))</f>
        <v>62500</v>
      </c>
      <c r="BI11" s="30">
        <f>IF((BI$2-Assumptions!$C$7+1)&lt;1,0,Assumptions!$B$7*INDEX($C$4:$DR$4,1,BI$2-Assumptions!$C$7+1))</f>
        <v>68750</v>
      </c>
      <c r="BJ11" s="30">
        <f>IF((BJ$2-Assumptions!$C$7+1)&lt;1,0,Assumptions!$B$7*INDEX($C$4:$DR$4,1,BJ$2-Assumptions!$C$7+1))</f>
        <v>75000.000000000015</v>
      </c>
      <c r="BK11" s="30">
        <f>IF((BK$2-Assumptions!$C$7+1)&lt;1,0,Assumptions!$B$7*INDEX($C$4:$DR$4,1,BK$2-Assumptions!$C$7+1))</f>
        <v>81250</v>
      </c>
      <c r="BL11" s="30">
        <f>IF((BL$2-Assumptions!$C$7+1)&lt;1,0,Assumptions!$B$7*INDEX($C$4:$DR$4,1,BL$2-Assumptions!$C$7+1))</f>
        <v>87500</v>
      </c>
      <c r="BM11" s="30">
        <f>IF((BM$2-Assumptions!$C$7+1)&lt;1,0,Assumptions!$B$7*INDEX($C$4:$DR$4,1,BM$2-Assumptions!$C$7+1))</f>
        <v>93750</v>
      </c>
      <c r="BN11" s="30">
        <f>IF((BN$2-Assumptions!$C$7+1)&lt;1,0,Assumptions!$B$7*INDEX($C$4:$DR$4,1,BN$2-Assumptions!$C$7+1))</f>
        <v>100000</v>
      </c>
      <c r="BO11" s="30">
        <f>IF((BO$2-Assumptions!$C$7+1)&lt;1,0,Assumptions!$B$7*INDEX($C$4:$DR$4,1,BO$2-Assumptions!$C$7+1))</f>
        <v>106250.00000000001</v>
      </c>
      <c r="BP11" s="30">
        <f>IF((BP$2-Assumptions!$C$7+1)&lt;1,0,Assumptions!$B$7*INDEX($C$4:$DR$4,1,BP$2-Assumptions!$C$7+1))</f>
        <v>112499.99999999999</v>
      </c>
      <c r="BQ11" s="30">
        <f>IF((BQ$2-Assumptions!$C$7+1)&lt;1,0,Assumptions!$B$7*INDEX($C$4:$DR$4,1,BQ$2-Assumptions!$C$7+1))</f>
        <v>118750.00000000001</v>
      </c>
      <c r="BR11" s="30">
        <f>IF((BR$2-Assumptions!$C$7+1)&lt;1,0,Assumptions!$B$7*INDEX($C$4:$DR$4,1,BR$2-Assumptions!$C$7+1))</f>
        <v>125000</v>
      </c>
      <c r="BS11" s="30">
        <f>IF((BS$2-Assumptions!$C$7+1)&lt;1,0,Assumptions!$B$7*INDEX($C$4:$DR$4,1,BS$2-Assumptions!$C$7+1))</f>
        <v>131250</v>
      </c>
      <c r="BT11" s="30">
        <f>IF((BT$2-Assumptions!$C$7+1)&lt;1,0,Assumptions!$B$7*INDEX($C$4:$DR$4,1,BT$2-Assumptions!$C$7+1))</f>
        <v>137500</v>
      </c>
      <c r="BU11" s="30">
        <f>IF((BU$2-Assumptions!$C$7+1)&lt;1,0,Assumptions!$B$7*INDEX($C$4:$DR$4,1,BU$2-Assumptions!$C$7+1))</f>
        <v>143750</v>
      </c>
      <c r="BV11" s="30">
        <f>IF((BV$2-Assumptions!$C$7+1)&lt;1,0,Assumptions!$B$7*INDEX($C$4:$DR$4,1,BV$2-Assumptions!$C$7+1))</f>
        <v>150000.00000000003</v>
      </c>
      <c r="BW11" s="30">
        <f>IF((BW$2-Assumptions!$C$7+1)&lt;1,0,Assumptions!$B$7*INDEX($C$4:$DR$4,1,BW$2-Assumptions!$C$7+1))</f>
        <v>156250</v>
      </c>
      <c r="BX11" s="30">
        <f>IF((BX$2-Assumptions!$C$7+1)&lt;1,0,Assumptions!$B$7*INDEX($C$4:$DR$4,1,BX$2-Assumptions!$C$7+1))</f>
        <v>162500</v>
      </c>
      <c r="BY11" s="30">
        <f>IF((BY$2-Assumptions!$C$7+1)&lt;1,0,Assumptions!$B$7*INDEX($C$4:$DR$4,1,BY$2-Assumptions!$C$7+1))</f>
        <v>168750</v>
      </c>
      <c r="BZ11" s="30">
        <f>IF((BZ$2-Assumptions!$C$7+1)&lt;1,0,Assumptions!$B$7*INDEX($C$4:$DR$4,1,BZ$2-Assumptions!$C$7+1))</f>
        <v>175000</v>
      </c>
      <c r="CA11" s="30">
        <f>IF((CA$2-Assumptions!$C$7+1)&lt;1,0,Assumptions!$B$7*INDEX($C$4:$DR$4,1,CA$2-Assumptions!$C$7+1))</f>
        <v>181250.00000000003</v>
      </c>
      <c r="CB11" s="30">
        <f>IF((CB$2-Assumptions!$C$7+1)&lt;1,0,Assumptions!$B$7*INDEX($C$4:$DR$4,1,CB$2-Assumptions!$C$7+1))</f>
        <v>187500</v>
      </c>
      <c r="CC11" s="30">
        <f>IF((CC$2-Assumptions!$C$7+1)&lt;1,0,Assumptions!$B$7*INDEX($C$4:$DR$4,1,CC$2-Assumptions!$C$7+1))</f>
        <v>193750</v>
      </c>
      <c r="CD11" s="30">
        <f>IF((CD$2-Assumptions!$C$7+1)&lt;1,0,Assumptions!$B$7*INDEX($C$4:$DR$4,1,CD$2-Assumptions!$C$7+1))</f>
        <v>200000</v>
      </c>
      <c r="CE11" s="30">
        <f>IF((CE$2-Assumptions!$C$7+1)&lt;1,0,Assumptions!$B$7*INDEX($C$4:$DR$4,1,CE$2-Assumptions!$C$7+1))</f>
        <v>206250</v>
      </c>
      <c r="CF11" s="30">
        <f>IF((CF$2-Assumptions!$C$7+1)&lt;1,0,Assumptions!$B$7*INDEX($C$4:$DR$4,1,CF$2-Assumptions!$C$7+1))</f>
        <v>212500.00000000003</v>
      </c>
      <c r="CG11" s="30">
        <f>IF((CG$2-Assumptions!$C$7+1)&lt;1,0,Assumptions!$B$7*INDEX($C$4:$DR$4,1,CG$2-Assumptions!$C$7+1))</f>
        <v>218750</v>
      </c>
      <c r="CH11" s="30">
        <f>IF((CH$2-Assumptions!$C$7+1)&lt;1,0,Assumptions!$B$7*INDEX($C$4:$DR$4,1,CH$2-Assumptions!$C$7+1))</f>
        <v>224999.99999999997</v>
      </c>
      <c r="CI11" s="30">
        <f>IF((CI$2-Assumptions!$C$7+1)&lt;1,0,Assumptions!$B$7*INDEX($C$4:$DR$4,1,CI$2-Assumptions!$C$7+1))</f>
        <v>225000</v>
      </c>
      <c r="CJ11" s="30">
        <f>IF((CJ$2-Assumptions!$C$7+1)&lt;1,0,Assumptions!$B$7*INDEX($C$4:$DR$4,1,CJ$2-Assumptions!$C$7+1))</f>
        <v>225000</v>
      </c>
      <c r="CK11" s="30">
        <f>IF((CK$2-Assumptions!$C$7+1)&lt;1,0,Assumptions!$B$7*INDEX($C$4:$DR$4,1,CK$2-Assumptions!$C$7+1))</f>
        <v>225000</v>
      </c>
      <c r="CL11" s="30">
        <f>IF((CL$2-Assumptions!$C$7+1)&lt;1,0,Assumptions!$B$7*INDEX($C$4:$DR$4,1,CL$2-Assumptions!$C$7+1))</f>
        <v>225000</v>
      </c>
      <c r="CM11" s="30">
        <f>IF((CM$2-Assumptions!$C$7+1)&lt;1,0,Assumptions!$B$7*INDEX($C$4:$DR$4,1,CM$2-Assumptions!$C$7+1))</f>
        <v>225000</v>
      </c>
      <c r="CN11" s="30">
        <f>IF((CN$2-Assumptions!$C$7+1)&lt;1,0,Assumptions!$B$7*INDEX($C$4:$DR$4,1,CN$2-Assumptions!$C$7+1))</f>
        <v>225000</v>
      </c>
      <c r="CO11" s="30">
        <f>IF((CO$2-Assumptions!$C$7+1)&lt;1,0,Assumptions!$B$7*INDEX($C$4:$DR$4,1,CO$2-Assumptions!$C$7+1))</f>
        <v>225000</v>
      </c>
      <c r="CP11" s="30">
        <f>IF((CP$2-Assumptions!$C$7+1)&lt;1,0,Assumptions!$B$7*INDEX($C$4:$DR$4,1,CP$2-Assumptions!$C$7+1))</f>
        <v>225000</v>
      </c>
      <c r="CQ11" s="30">
        <f>IF((CQ$2-Assumptions!$C$7+1)&lt;1,0,Assumptions!$B$7*INDEX($C$4:$DR$4,1,CQ$2-Assumptions!$C$7+1))</f>
        <v>225000</v>
      </c>
      <c r="CR11" s="30">
        <f>IF((CR$2-Assumptions!$C$7+1)&lt;1,0,Assumptions!$B$7*INDEX($C$4:$DR$4,1,CR$2-Assumptions!$C$7+1))</f>
        <v>225000</v>
      </c>
      <c r="CS11" s="30">
        <f>IF((CS$2-Assumptions!$C$7+1)&lt;1,0,Assumptions!$B$7*INDEX($C$4:$DR$4,1,CS$2-Assumptions!$C$7+1))</f>
        <v>225000</v>
      </c>
      <c r="CT11" s="30">
        <f>IF((CT$2-Assumptions!$C$7+1)&lt;1,0,Assumptions!$B$7*INDEX($C$4:$DR$4,1,CT$2-Assumptions!$C$7+1))</f>
        <v>225000</v>
      </c>
      <c r="CU11" s="30">
        <f>IF((CU$2-Assumptions!$C$7+1)&lt;1,0,Assumptions!$B$7*INDEX($C$4:$DR$4,1,CU$2-Assumptions!$C$7+1))</f>
        <v>225000</v>
      </c>
      <c r="CV11" s="30">
        <f>IF((CV$2-Assumptions!$C$7+1)&lt;1,0,Assumptions!$B$7*INDEX($C$4:$DR$4,1,CV$2-Assumptions!$C$7+1))</f>
        <v>225000</v>
      </c>
      <c r="CW11" s="30">
        <f>IF((CW$2-Assumptions!$C$7+1)&lt;1,0,Assumptions!$B$7*INDEX($C$4:$DR$4,1,CW$2-Assumptions!$C$7+1))</f>
        <v>225000</v>
      </c>
      <c r="CX11" s="30">
        <f>IF((CX$2-Assumptions!$C$7+1)&lt;1,0,Assumptions!$B$7*INDEX($C$4:$DR$4,1,CX$2-Assumptions!$C$7+1))</f>
        <v>225000</v>
      </c>
      <c r="CY11" s="30">
        <f>IF((CY$2-Assumptions!$C$7+1)&lt;1,0,Assumptions!$B$7*INDEX($C$4:$DR$4,1,CY$2-Assumptions!$C$7+1))</f>
        <v>225000</v>
      </c>
      <c r="CZ11" s="30">
        <f>IF((CZ$2-Assumptions!$C$7+1)&lt;1,0,Assumptions!$B$7*INDEX($C$4:$DR$4,1,CZ$2-Assumptions!$C$7+1))</f>
        <v>225000</v>
      </c>
      <c r="DA11" s="30">
        <f>IF((DA$2-Assumptions!$C$7+1)&lt;1,0,Assumptions!$B$7*INDEX($C$4:$DR$4,1,DA$2-Assumptions!$C$7+1))</f>
        <v>225000</v>
      </c>
      <c r="DB11" s="30">
        <f>IF((DB$2-Assumptions!$C$7+1)&lt;1,0,Assumptions!$B$7*INDEX($C$4:$DR$4,1,DB$2-Assumptions!$C$7+1))</f>
        <v>225000</v>
      </c>
      <c r="DC11" s="30">
        <f>IF((DC$2-Assumptions!$C$7+1)&lt;1,0,Assumptions!$B$7*INDEX($C$4:$DR$4,1,DC$2-Assumptions!$C$7+1))</f>
        <v>225000</v>
      </c>
      <c r="DD11" s="30">
        <f>IF((DD$2-Assumptions!$C$7+1)&lt;1,0,Assumptions!$B$7*INDEX($C$4:$DR$4,1,DD$2-Assumptions!$C$7+1))</f>
        <v>225000</v>
      </c>
      <c r="DE11" s="30">
        <f>IF((DE$2-Assumptions!$C$7+1)&lt;1,0,Assumptions!$B$7*INDEX($C$4:$DR$4,1,DE$2-Assumptions!$C$7+1))</f>
        <v>225000</v>
      </c>
      <c r="DF11" s="30">
        <f>IF((DF$2-Assumptions!$C$7+1)&lt;1,0,Assumptions!$B$7*INDEX($C$4:$DR$4,1,DF$2-Assumptions!$C$7+1))</f>
        <v>225000</v>
      </c>
      <c r="DG11" s="30">
        <f>IF((DG$2-Assumptions!$C$7+1)&lt;1,0,Assumptions!$B$7*INDEX($C$4:$DR$4,1,DG$2-Assumptions!$C$7+1))</f>
        <v>225000</v>
      </c>
      <c r="DH11" s="30">
        <f>IF((DH$2-Assumptions!$C$7+1)&lt;1,0,Assumptions!$B$7*INDEX($C$4:$DR$4,1,DH$2-Assumptions!$C$7+1))</f>
        <v>225000</v>
      </c>
      <c r="DI11" s="30">
        <f>IF((DI$2-Assumptions!$C$7+1)&lt;1,0,Assumptions!$B$7*INDEX($C$4:$DR$4,1,DI$2-Assumptions!$C$7+1))</f>
        <v>225000</v>
      </c>
      <c r="DJ11" s="30">
        <f>IF((DJ$2-Assumptions!$C$7+1)&lt;1,0,Assumptions!$B$7*INDEX($C$4:$DR$4,1,DJ$2-Assumptions!$C$7+1))</f>
        <v>225000</v>
      </c>
      <c r="DK11" s="30">
        <f>IF((DK$2-Assumptions!$C$7+1)&lt;1,0,Assumptions!$B$7*INDEX($C$4:$DR$4,1,DK$2-Assumptions!$C$7+1))</f>
        <v>225000</v>
      </c>
      <c r="DL11" s="30">
        <f>IF((DL$2-Assumptions!$C$7+1)&lt;1,0,Assumptions!$B$7*INDEX($C$4:$DR$4,1,DL$2-Assumptions!$C$7+1))</f>
        <v>225000</v>
      </c>
      <c r="DM11" s="30">
        <f>IF((DM$2-Assumptions!$C$7+1)&lt;1,0,Assumptions!$B$7*INDEX($C$4:$DR$4,1,DM$2-Assumptions!$C$7+1))</f>
        <v>225000</v>
      </c>
      <c r="DN11" s="30">
        <f>IF((DN$2-Assumptions!$C$7+1)&lt;1,0,Assumptions!$B$7*INDEX($C$4:$DR$4,1,DN$2-Assumptions!$C$7+1))</f>
        <v>225000</v>
      </c>
      <c r="DO11" s="30">
        <f>IF((DO$2-Assumptions!$C$7+1)&lt;1,0,Assumptions!$B$7*INDEX($C$4:$DR$4,1,DO$2-Assumptions!$C$7+1))</f>
        <v>225000</v>
      </c>
      <c r="DP11" s="30">
        <f>IF((DP$2-Assumptions!$C$7+1)&lt;1,0,Assumptions!$B$7*INDEX($C$4:$DR$4,1,DP$2-Assumptions!$C$7+1))</f>
        <v>225000</v>
      </c>
      <c r="DQ11" s="30">
        <f>IF((DQ$2-Assumptions!$C$7+1)&lt;1,0,Assumptions!$B$7*INDEX($C$4:$DR$4,1,DQ$2-Assumptions!$C$7+1))</f>
        <v>225000</v>
      </c>
      <c r="DR11" s="30">
        <f>IF((DR$2-Assumptions!$C$7+1)&lt;1,0,Assumptions!$B$7*INDEX($C$4:$DR$4,1,DR$2-Assumptions!$C$7+1))</f>
        <v>225000</v>
      </c>
    </row>
    <row r="12" spans="1:122" x14ac:dyDescent="0.2">
      <c r="A12" s="9" t="s">
        <v>85</v>
      </c>
      <c r="C12" s="30">
        <f>IF((C$2-Assumptions!$C$8+1)&lt;1,0,Assumptions!$B$8*INDEX($C$4:$DR$4,1,C$2-Assumptions!$C$8+1))</f>
        <v>0</v>
      </c>
      <c r="D12" s="30">
        <f>IF((D$2-Assumptions!$C$8+1)&lt;1,0,Assumptions!$B$8*INDEX($C$4:$DR$4,1,D$2-Assumptions!$C$8+1))</f>
        <v>0</v>
      </c>
      <c r="E12" s="30">
        <f>IF((E$2-Assumptions!$C$8+1)&lt;1,0,Assumptions!$B$8*INDEX($C$4:$DR$4,1,E$2-Assumptions!$C$8+1))</f>
        <v>0</v>
      </c>
      <c r="F12" s="30">
        <f>IF((F$2-Assumptions!$C$8+1)&lt;1,0,Assumptions!$B$8*INDEX($C$4:$DR$4,1,F$2-Assumptions!$C$8+1))</f>
        <v>0</v>
      </c>
      <c r="G12" s="30">
        <f>IF((G$2-Assumptions!$C$8+1)&lt;1,0,Assumptions!$B$8*INDEX($C$4:$DR$4,1,G$2-Assumptions!$C$8+1))</f>
        <v>0</v>
      </c>
      <c r="H12" s="30">
        <f>IF((H$2-Assumptions!$C$8+1)&lt;1,0,Assumptions!$B$8*INDEX($C$4:$DR$4,1,H$2-Assumptions!$C$8+1))</f>
        <v>0</v>
      </c>
      <c r="I12" s="30">
        <f>IF((I$2-Assumptions!$C$8+1)&lt;1,0,Assumptions!$B$8*INDEX($C$4:$DR$4,1,I$2-Assumptions!$C$8+1))</f>
        <v>0</v>
      </c>
      <c r="J12" s="30">
        <f>IF((J$2-Assumptions!$C$8+1)&lt;1,0,Assumptions!$B$8*INDEX($C$4:$DR$4,1,J$2-Assumptions!$C$8+1))</f>
        <v>0</v>
      </c>
      <c r="K12" s="30">
        <f>IF((K$2-Assumptions!$C$8+1)&lt;1,0,Assumptions!$B$8*INDEX($C$4:$DR$4,1,K$2-Assumptions!$C$8+1))</f>
        <v>0</v>
      </c>
      <c r="L12" s="30">
        <f>IF((L$2-Assumptions!$C$8+1)&lt;1,0,Assumptions!$B$8*INDEX($C$4:$DR$4,1,L$2-Assumptions!$C$8+1))</f>
        <v>0</v>
      </c>
      <c r="M12" s="30">
        <f>IF((M$2-Assumptions!$C$8+1)&lt;1,0,Assumptions!$B$8*INDEX($C$4:$DR$4,1,M$2-Assumptions!$C$8+1))</f>
        <v>0</v>
      </c>
      <c r="N12" s="30">
        <f>IF((N$2-Assumptions!$C$8+1)&lt;1,0,Assumptions!$B$8*INDEX($C$4:$DR$4,1,N$2-Assumptions!$C$8+1))</f>
        <v>0</v>
      </c>
      <c r="O12" s="30">
        <f>IF((O$2-Assumptions!$C$8+1)&lt;1,0,Assumptions!$B$8*INDEX($C$4:$DR$4,1,O$2-Assumptions!$C$8+1))</f>
        <v>0</v>
      </c>
      <c r="P12" s="30">
        <f>IF((P$2-Assumptions!$C$8+1)&lt;1,0,Assumptions!$B$8*INDEX($C$4:$DR$4,1,P$2-Assumptions!$C$8+1))</f>
        <v>0</v>
      </c>
      <c r="Q12" s="30">
        <f>IF((Q$2-Assumptions!$C$8+1)&lt;1,0,Assumptions!$B$8*INDEX($C$4:$DR$4,1,Q$2-Assumptions!$C$8+1))</f>
        <v>0</v>
      </c>
      <c r="R12" s="30">
        <f>IF((R$2-Assumptions!$C$8+1)&lt;1,0,Assumptions!$B$8*INDEX($C$4:$DR$4,1,R$2-Assumptions!$C$8+1))</f>
        <v>0</v>
      </c>
      <c r="S12" s="30">
        <f>IF((S$2-Assumptions!$C$8+1)&lt;1,0,Assumptions!$B$8*INDEX($C$4:$DR$4,1,S$2-Assumptions!$C$8+1))</f>
        <v>0</v>
      </c>
      <c r="T12" s="30">
        <f>IF((T$2-Assumptions!$C$8+1)&lt;1,0,Assumptions!$B$8*INDEX($C$4:$DR$4,1,T$2-Assumptions!$C$8+1))</f>
        <v>0</v>
      </c>
      <c r="U12" s="30">
        <f>IF((U$2-Assumptions!$C$8+1)&lt;1,0,Assumptions!$B$8*INDEX($C$4:$DR$4,1,U$2-Assumptions!$C$8+1))</f>
        <v>0</v>
      </c>
      <c r="V12" s="30">
        <f>IF((V$2-Assumptions!$C$8+1)&lt;1,0,Assumptions!$B$8*INDEX($C$4:$DR$4,1,V$2-Assumptions!$C$8+1))</f>
        <v>0</v>
      </c>
      <c r="W12" s="30">
        <f>IF((W$2-Assumptions!$C$8+1)&lt;1,0,Assumptions!$B$8*INDEX($C$4:$DR$4,1,W$2-Assumptions!$C$8+1))</f>
        <v>0</v>
      </c>
      <c r="X12" s="30">
        <f>IF((X$2-Assumptions!$C$8+1)&lt;1,0,Assumptions!$B$8*INDEX($C$4:$DR$4,1,X$2-Assumptions!$C$8+1))</f>
        <v>0</v>
      </c>
      <c r="Y12" s="30">
        <f>IF((Y$2-Assumptions!$C$8+1)&lt;1,0,Assumptions!$B$8*INDEX($C$4:$DR$4,1,Y$2-Assumptions!$C$8+1))</f>
        <v>0</v>
      </c>
      <c r="Z12" s="30">
        <f>IF((Z$2-Assumptions!$C$8+1)&lt;1,0,Assumptions!$B$8*INDEX($C$4:$DR$4,1,Z$2-Assumptions!$C$8+1))</f>
        <v>0</v>
      </c>
      <c r="AA12" s="30">
        <f>IF((AA$2-Assumptions!$C$8+1)&lt;1,0,Assumptions!$B$8*INDEX($C$4:$DR$4,1,AA$2-Assumptions!$C$8+1))</f>
        <v>0</v>
      </c>
      <c r="AB12" s="30">
        <f>IF((AB$2-Assumptions!$C$8+1)&lt;1,0,Assumptions!$B$8*INDEX($C$4:$DR$4,1,AB$2-Assumptions!$C$8+1))</f>
        <v>0</v>
      </c>
      <c r="AC12" s="30">
        <f>IF((AC$2-Assumptions!$C$8+1)&lt;1,0,Assumptions!$B$8*INDEX($C$4:$DR$4,1,AC$2-Assumptions!$C$8+1))</f>
        <v>0</v>
      </c>
      <c r="AD12" s="30">
        <f>IF((AD$2-Assumptions!$C$8+1)&lt;1,0,Assumptions!$B$8*INDEX($C$4:$DR$4,1,AD$2-Assumptions!$C$8+1))</f>
        <v>0</v>
      </c>
      <c r="AE12" s="30">
        <f>IF((AE$2-Assumptions!$C$8+1)&lt;1,0,Assumptions!$B$8*INDEX($C$4:$DR$4,1,AE$2-Assumptions!$C$8+1))</f>
        <v>0</v>
      </c>
      <c r="AF12" s="30">
        <f>IF((AF$2-Assumptions!$C$8+1)&lt;1,0,Assumptions!$B$8*INDEX($C$4:$DR$4,1,AF$2-Assumptions!$C$8+1))</f>
        <v>0</v>
      </c>
      <c r="AG12" s="30">
        <f>IF((AG$2-Assumptions!$C$8+1)&lt;1,0,Assumptions!$B$8*INDEX($C$4:$DR$4,1,AG$2-Assumptions!$C$8+1))</f>
        <v>0</v>
      </c>
      <c r="AH12" s="30">
        <f>IF((AH$2-Assumptions!$C$8+1)&lt;1,0,Assumptions!$B$8*INDEX($C$4:$DR$4,1,AH$2-Assumptions!$C$8+1))</f>
        <v>0</v>
      </c>
      <c r="AI12" s="30">
        <f>IF((AI$2-Assumptions!$C$8+1)&lt;1,0,Assumptions!$B$8*INDEX($C$4:$DR$4,1,AI$2-Assumptions!$C$8+1))</f>
        <v>0</v>
      </c>
      <c r="AJ12" s="30">
        <f>IF((AJ$2-Assumptions!$C$8+1)&lt;1,0,Assumptions!$B$8*INDEX($C$4:$DR$4,1,AJ$2-Assumptions!$C$8+1))</f>
        <v>0</v>
      </c>
      <c r="AK12" s="30">
        <f>IF((AK$2-Assumptions!$C$8+1)&lt;1,0,Assumptions!$B$8*INDEX($C$4:$DR$4,1,AK$2-Assumptions!$C$8+1))</f>
        <v>0</v>
      </c>
      <c r="AL12" s="30">
        <f>IF((AL$2-Assumptions!$C$8+1)&lt;1,0,Assumptions!$B$8*INDEX($C$4:$DR$4,1,AL$2-Assumptions!$C$8+1))</f>
        <v>0</v>
      </c>
      <c r="AM12" s="30">
        <f>IF((AM$2-Assumptions!$C$8+1)&lt;1,0,Assumptions!$B$8*INDEX($C$4:$DR$4,1,AM$2-Assumptions!$C$8+1))</f>
        <v>0</v>
      </c>
      <c r="AN12" s="30">
        <f>IF((AN$2-Assumptions!$C$8+1)&lt;1,0,Assumptions!$B$8*INDEX($C$4:$DR$4,1,AN$2-Assumptions!$C$8+1))</f>
        <v>0</v>
      </c>
      <c r="AO12" s="30">
        <f>IF((AO$2-Assumptions!$C$8+1)&lt;1,0,Assumptions!$B$8*INDEX($C$4:$DR$4,1,AO$2-Assumptions!$C$8+1))</f>
        <v>0</v>
      </c>
      <c r="AP12" s="30">
        <f>IF((AP$2-Assumptions!$C$8+1)&lt;1,0,Assumptions!$B$8*INDEX($C$4:$DR$4,1,AP$2-Assumptions!$C$8+1))</f>
        <v>0</v>
      </c>
      <c r="AQ12" s="30">
        <f>IF((AQ$2-Assumptions!$C$8+1)&lt;1,0,Assumptions!$B$8*INDEX($C$4:$DR$4,1,AQ$2-Assumptions!$C$8+1))</f>
        <v>0</v>
      </c>
      <c r="AR12" s="30">
        <f>IF((AR$2-Assumptions!$C$8+1)&lt;1,0,Assumptions!$B$8*INDEX($C$4:$DR$4,1,AR$2-Assumptions!$C$8+1))</f>
        <v>0</v>
      </c>
      <c r="AS12" s="30">
        <f>IF((AS$2-Assumptions!$C$8+1)&lt;1,0,Assumptions!$B$8*INDEX($C$4:$DR$4,1,AS$2-Assumptions!$C$8+1))</f>
        <v>0</v>
      </c>
      <c r="AT12" s="30">
        <f>IF((AT$2-Assumptions!$C$8+1)&lt;1,0,Assumptions!$B$8*INDEX($C$4:$DR$4,1,AT$2-Assumptions!$C$8+1))</f>
        <v>0</v>
      </c>
      <c r="AU12" s="30">
        <f>IF((AU$2-Assumptions!$C$8+1)&lt;1,0,Assumptions!$B$8*INDEX($C$4:$DR$4,1,AU$2-Assumptions!$C$8+1))</f>
        <v>0</v>
      </c>
      <c r="AV12" s="30">
        <f>IF((AV$2-Assumptions!$C$8+1)&lt;1,0,Assumptions!$B$8*INDEX($C$4:$DR$4,1,AV$2-Assumptions!$C$8+1))</f>
        <v>0</v>
      </c>
      <c r="AW12" s="30">
        <f>IF((AW$2-Assumptions!$C$8+1)&lt;1,0,Assumptions!$B$8*INDEX($C$4:$DR$4,1,AW$2-Assumptions!$C$8+1))</f>
        <v>0</v>
      </c>
      <c r="AX12" s="30">
        <f>IF((AX$2-Assumptions!$C$8+1)&lt;1,0,Assumptions!$B$8*INDEX($C$4:$DR$4,1,AX$2-Assumptions!$C$8+1))</f>
        <v>0</v>
      </c>
      <c r="AY12" s="30">
        <f>IF((AY$2-Assumptions!$C$8+1)&lt;1,0,Assumptions!$B$8*INDEX($C$4:$DR$4,1,AY$2-Assumptions!$C$8+1))</f>
        <v>0</v>
      </c>
      <c r="AZ12" s="30">
        <f>IF((AZ$2-Assumptions!$C$8+1)&lt;1,0,Assumptions!$B$8*INDEX($C$4:$DR$4,1,AZ$2-Assumptions!$C$8+1))</f>
        <v>0</v>
      </c>
      <c r="BA12" s="30">
        <f>IF((BA$2-Assumptions!$C$8+1)&lt;1,0,Assumptions!$B$8*INDEX($C$4:$DR$4,1,BA$2-Assumptions!$C$8+1))</f>
        <v>0</v>
      </c>
      <c r="BB12" s="30">
        <f>IF((BB$2-Assumptions!$C$8+1)&lt;1,0,Assumptions!$B$8*INDEX($C$4:$DR$4,1,BB$2-Assumptions!$C$8+1))</f>
        <v>0</v>
      </c>
      <c r="BC12" s="30">
        <f>IF((BC$2-Assumptions!$C$8+1)&lt;1,0,Assumptions!$B$8*INDEX($C$4:$DR$4,1,BC$2-Assumptions!$C$8+1))</f>
        <v>0</v>
      </c>
      <c r="BD12" s="30">
        <f>IF((BD$2-Assumptions!$C$8+1)&lt;1,0,Assumptions!$B$8*INDEX($C$4:$DR$4,1,BD$2-Assumptions!$C$8+1))</f>
        <v>0</v>
      </c>
      <c r="BE12" s="30">
        <f>IF((BE$2-Assumptions!$C$8+1)&lt;1,0,Assumptions!$B$8*INDEX($C$4:$DR$4,1,BE$2-Assumptions!$C$8+1))</f>
        <v>0</v>
      </c>
      <c r="BF12" s="30">
        <f>IF((BF$2-Assumptions!$C$8+1)&lt;1,0,Assumptions!$B$8*INDEX($C$4:$DR$4,1,BF$2-Assumptions!$C$8+1))</f>
        <v>0</v>
      </c>
      <c r="BG12" s="30">
        <f>IF((BG$2-Assumptions!$C$8+1)&lt;1,0,Assumptions!$B$8*INDEX($C$4:$DR$4,1,BG$2-Assumptions!$C$8+1))</f>
        <v>0</v>
      </c>
      <c r="BH12" s="30">
        <f>IF((BH$2-Assumptions!$C$8+1)&lt;1,0,Assumptions!$B$8*INDEX($C$4:$DR$4,1,BH$2-Assumptions!$C$8+1))</f>
        <v>0</v>
      </c>
      <c r="BI12" s="30">
        <f>IF((BI$2-Assumptions!$C$8+1)&lt;1,0,Assumptions!$B$8*INDEX($C$4:$DR$4,1,BI$2-Assumptions!$C$8+1))</f>
        <v>0</v>
      </c>
      <c r="BJ12" s="30">
        <f>IF((BJ$2-Assumptions!$C$8+1)&lt;1,0,Assumptions!$B$8*INDEX($C$4:$DR$4,1,BJ$2-Assumptions!$C$8+1))</f>
        <v>0</v>
      </c>
      <c r="BK12" s="30">
        <f>IF((BK$2-Assumptions!$C$8+1)&lt;1,0,Assumptions!$B$8*INDEX($C$4:$DR$4,1,BK$2-Assumptions!$C$8+1))</f>
        <v>6250</v>
      </c>
      <c r="BL12" s="30">
        <f>IF((BL$2-Assumptions!$C$8+1)&lt;1,0,Assumptions!$B$8*INDEX($C$4:$DR$4,1,BL$2-Assumptions!$C$8+1))</f>
        <v>12500</v>
      </c>
      <c r="BM12" s="30">
        <f>IF((BM$2-Assumptions!$C$8+1)&lt;1,0,Assumptions!$B$8*INDEX($C$4:$DR$4,1,BM$2-Assumptions!$C$8+1))</f>
        <v>18750.000000000004</v>
      </c>
      <c r="BN12" s="30">
        <f>IF((BN$2-Assumptions!$C$8+1)&lt;1,0,Assumptions!$B$8*INDEX($C$4:$DR$4,1,BN$2-Assumptions!$C$8+1))</f>
        <v>25000</v>
      </c>
      <c r="BO12" s="30">
        <f>IF((BO$2-Assumptions!$C$8+1)&lt;1,0,Assumptions!$B$8*INDEX($C$4:$DR$4,1,BO$2-Assumptions!$C$8+1))</f>
        <v>31250</v>
      </c>
      <c r="BP12" s="30">
        <f>IF((BP$2-Assumptions!$C$8+1)&lt;1,0,Assumptions!$B$8*INDEX($C$4:$DR$4,1,BP$2-Assumptions!$C$8+1))</f>
        <v>37500.000000000007</v>
      </c>
      <c r="BQ12" s="30">
        <f>IF((BQ$2-Assumptions!$C$8+1)&lt;1,0,Assumptions!$B$8*INDEX($C$4:$DR$4,1,BQ$2-Assumptions!$C$8+1))</f>
        <v>43750</v>
      </c>
      <c r="BR12" s="30">
        <f>IF((BR$2-Assumptions!$C$8+1)&lt;1,0,Assumptions!$B$8*INDEX($C$4:$DR$4,1,BR$2-Assumptions!$C$8+1))</f>
        <v>50000</v>
      </c>
      <c r="BS12" s="30">
        <f>IF((BS$2-Assumptions!$C$8+1)&lt;1,0,Assumptions!$B$8*INDEX($C$4:$DR$4,1,BS$2-Assumptions!$C$8+1))</f>
        <v>56249.999999999993</v>
      </c>
      <c r="BT12" s="30">
        <f>IF((BT$2-Assumptions!$C$8+1)&lt;1,0,Assumptions!$B$8*INDEX($C$4:$DR$4,1,BT$2-Assumptions!$C$8+1))</f>
        <v>62500</v>
      </c>
      <c r="BU12" s="30">
        <f>IF((BU$2-Assumptions!$C$8+1)&lt;1,0,Assumptions!$B$8*INDEX($C$4:$DR$4,1,BU$2-Assumptions!$C$8+1))</f>
        <v>68750</v>
      </c>
      <c r="BV12" s="30">
        <f>IF((BV$2-Assumptions!$C$8+1)&lt;1,0,Assumptions!$B$8*INDEX($C$4:$DR$4,1,BV$2-Assumptions!$C$8+1))</f>
        <v>75000.000000000015</v>
      </c>
      <c r="BW12" s="30">
        <f>IF((BW$2-Assumptions!$C$8+1)&lt;1,0,Assumptions!$B$8*INDEX($C$4:$DR$4,1,BW$2-Assumptions!$C$8+1))</f>
        <v>81250</v>
      </c>
      <c r="BX12" s="30">
        <f>IF((BX$2-Assumptions!$C$8+1)&lt;1,0,Assumptions!$B$8*INDEX($C$4:$DR$4,1,BX$2-Assumptions!$C$8+1))</f>
        <v>87500</v>
      </c>
      <c r="BY12" s="30">
        <f>IF((BY$2-Assumptions!$C$8+1)&lt;1,0,Assumptions!$B$8*INDEX($C$4:$DR$4,1,BY$2-Assumptions!$C$8+1))</f>
        <v>93750</v>
      </c>
      <c r="BZ12" s="30">
        <f>IF((BZ$2-Assumptions!$C$8+1)&lt;1,0,Assumptions!$B$8*INDEX($C$4:$DR$4,1,BZ$2-Assumptions!$C$8+1))</f>
        <v>100000</v>
      </c>
      <c r="CA12" s="30">
        <f>IF((CA$2-Assumptions!$C$8+1)&lt;1,0,Assumptions!$B$8*INDEX($C$4:$DR$4,1,CA$2-Assumptions!$C$8+1))</f>
        <v>106250.00000000001</v>
      </c>
      <c r="CB12" s="30">
        <f>IF((CB$2-Assumptions!$C$8+1)&lt;1,0,Assumptions!$B$8*INDEX($C$4:$DR$4,1,CB$2-Assumptions!$C$8+1))</f>
        <v>112499.99999999999</v>
      </c>
      <c r="CC12" s="30">
        <f>IF((CC$2-Assumptions!$C$8+1)&lt;1,0,Assumptions!$B$8*INDEX($C$4:$DR$4,1,CC$2-Assumptions!$C$8+1))</f>
        <v>118750.00000000001</v>
      </c>
      <c r="CD12" s="30">
        <f>IF((CD$2-Assumptions!$C$8+1)&lt;1,0,Assumptions!$B$8*INDEX($C$4:$DR$4,1,CD$2-Assumptions!$C$8+1))</f>
        <v>125000</v>
      </c>
      <c r="CE12" s="30">
        <f>IF((CE$2-Assumptions!$C$8+1)&lt;1,0,Assumptions!$B$8*INDEX($C$4:$DR$4,1,CE$2-Assumptions!$C$8+1))</f>
        <v>131250</v>
      </c>
      <c r="CF12" s="30">
        <f>IF((CF$2-Assumptions!$C$8+1)&lt;1,0,Assumptions!$B$8*INDEX($C$4:$DR$4,1,CF$2-Assumptions!$C$8+1))</f>
        <v>137500</v>
      </c>
      <c r="CG12" s="30">
        <f>IF((CG$2-Assumptions!$C$8+1)&lt;1,0,Assumptions!$B$8*INDEX($C$4:$DR$4,1,CG$2-Assumptions!$C$8+1))</f>
        <v>143750</v>
      </c>
      <c r="CH12" s="30">
        <f>IF((CH$2-Assumptions!$C$8+1)&lt;1,0,Assumptions!$B$8*INDEX($C$4:$DR$4,1,CH$2-Assumptions!$C$8+1))</f>
        <v>150000.00000000003</v>
      </c>
      <c r="CI12" s="30">
        <f>IF((CI$2-Assumptions!$C$8+1)&lt;1,0,Assumptions!$B$8*INDEX($C$4:$DR$4,1,CI$2-Assumptions!$C$8+1))</f>
        <v>156250</v>
      </c>
      <c r="CJ12" s="30">
        <f>IF((CJ$2-Assumptions!$C$8+1)&lt;1,0,Assumptions!$B$8*INDEX($C$4:$DR$4,1,CJ$2-Assumptions!$C$8+1))</f>
        <v>162500</v>
      </c>
      <c r="CK12" s="30">
        <f>IF((CK$2-Assumptions!$C$8+1)&lt;1,0,Assumptions!$B$8*INDEX($C$4:$DR$4,1,CK$2-Assumptions!$C$8+1))</f>
        <v>168750</v>
      </c>
      <c r="CL12" s="30">
        <f>IF((CL$2-Assumptions!$C$8+1)&lt;1,0,Assumptions!$B$8*INDEX($C$4:$DR$4,1,CL$2-Assumptions!$C$8+1))</f>
        <v>175000</v>
      </c>
      <c r="CM12" s="30">
        <f>IF((CM$2-Assumptions!$C$8+1)&lt;1,0,Assumptions!$B$8*INDEX($C$4:$DR$4,1,CM$2-Assumptions!$C$8+1))</f>
        <v>181250.00000000003</v>
      </c>
      <c r="CN12" s="30">
        <f>IF((CN$2-Assumptions!$C$8+1)&lt;1,0,Assumptions!$B$8*INDEX($C$4:$DR$4,1,CN$2-Assumptions!$C$8+1))</f>
        <v>187500</v>
      </c>
      <c r="CO12" s="30">
        <f>IF((CO$2-Assumptions!$C$8+1)&lt;1,0,Assumptions!$B$8*INDEX($C$4:$DR$4,1,CO$2-Assumptions!$C$8+1))</f>
        <v>193750</v>
      </c>
      <c r="CP12" s="30">
        <f>IF((CP$2-Assumptions!$C$8+1)&lt;1,0,Assumptions!$B$8*INDEX($C$4:$DR$4,1,CP$2-Assumptions!$C$8+1))</f>
        <v>200000</v>
      </c>
      <c r="CQ12" s="30">
        <f>IF((CQ$2-Assumptions!$C$8+1)&lt;1,0,Assumptions!$B$8*INDEX($C$4:$DR$4,1,CQ$2-Assumptions!$C$8+1))</f>
        <v>206250</v>
      </c>
      <c r="CR12" s="30">
        <f>IF((CR$2-Assumptions!$C$8+1)&lt;1,0,Assumptions!$B$8*INDEX($C$4:$DR$4,1,CR$2-Assumptions!$C$8+1))</f>
        <v>212500.00000000003</v>
      </c>
      <c r="CS12" s="30">
        <f>IF((CS$2-Assumptions!$C$8+1)&lt;1,0,Assumptions!$B$8*INDEX($C$4:$DR$4,1,CS$2-Assumptions!$C$8+1))</f>
        <v>218750</v>
      </c>
      <c r="CT12" s="30">
        <f>IF((CT$2-Assumptions!$C$8+1)&lt;1,0,Assumptions!$B$8*INDEX($C$4:$DR$4,1,CT$2-Assumptions!$C$8+1))</f>
        <v>224999.99999999997</v>
      </c>
      <c r="CU12" s="30">
        <f>IF((CU$2-Assumptions!$C$8+1)&lt;1,0,Assumptions!$B$8*INDEX($C$4:$DR$4,1,CU$2-Assumptions!$C$8+1))</f>
        <v>225000</v>
      </c>
      <c r="CV12" s="30">
        <f>IF((CV$2-Assumptions!$C$8+1)&lt;1,0,Assumptions!$B$8*INDEX($C$4:$DR$4,1,CV$2-Assumptions!$C$8+1))</f>
        <v>225000</v>
      </c>
      <c r="CW12" s="30">
        <f>IF((CW$2-Assumptions!$C$8+1)&lt;1,0,Assumptions!$B$8*INDEX($C$4:$DR$4,1,CW$2-Assumptions!$C$8+1))</f>
        <v>225000</v>
      </c>
      <c r="CX12" s="30">
        <f>IF((CX$2-Assumptions!$C$8+1)&lt;1,0,Assumptions!$B$8*INDEX($C$4:$DR$4,1,CX$2-Assumptions!$C$8+1))</f>
        <v>225000</v>
      </c>
      <c r="CY12" s="30">
        <f>IF((CY$2-Assumptions!$C$8+1)&lt;1,0,Assumptions!$B$8*INDEX($C$4:$DR$4,1,CY$2-Assumptions!$C$8+1))</f>
        <v>225000</v>
      </c>
      <c r="CZ12" s="30">
        <f>IF((CZ$2-Assumptions!$C$8+1)&lt;1,0,Assumptions!$B$8*INDEX($C$4:$DR$4,1,CZ$2-Assumptions!$C$8+1))</f>
        <v>225000</v>
      </c>
      <c r="DA12" s="30">
        <f>IF((DA$2-Assumptions!$C$8+1)&lt;1,0,Assumptions!$B$8*INDEX($C$4:$DR$4,1,DA$2-Assumptions!$C$8+1))</f>
        <v>225000</v>
      </c>
      <c r="DB12" s="30">
        <f>IF((DB$2-Assumptions!$C$8+1)&lt;1,0,Assumptions!$B$8*INDEX($C$4:$DR$4,1,DB$2-Assumptions!$C$8+1))</f>
        <v>225000</v>
      </c>
      <c r="DC12" s="30">
        <f>IF((DC$2-Assumptions!$C$8+1)&lt;1,0,Assumptions!$B$8*INDEX($C$4:$DR$4,1,DC$2-Assumptions!$C$8+1))</f>
        <v>225000</v>
      </c>
      <c r="DD12" s="30">
        <f>IF((DD$2-Assumptions!$C$8+1)&lt;1,0,Assumptions!$B$8*INDEX($C$4:$DR$4,1,DD$2-Assumptions!$C$8+1))</f>
        <v>225000</v>
      </c>
      <c r="DE12" s="30">
        <f>IF((DE$2-Assumptions!$C$8+1)&lt;1,0,Assumptions!$B$8*INDEX($C$4:$DR$4,1,DE$2-Assumptions!$C$8+1))</f>
        <v>225000</v>
      </c>
      <c r="DF12" s="30">
        <f>IF((DF$2-Assumptions!$C$8+1)&lt;1,0,Assumptions!$B$8*INDEX($C$4:$DR$4,1,DF$2-Assumptions!$C$8+1))</f>
        <v>225000</v>
      </c>
      <c r="DG12" s="30">
        <f>IF((DG$2-Assumptions!$C$8+1)&lt;1,0,Assumptions!$B$8*INDEX($C$4:$DR$4,1,DG$2-Assumptions!$C$8+1))</f>
        <v>225000</v>
      </c>
      <c r="DH12" s="30">
        <f>IF((DH$2-Assumptions!$C$8+1)&lt;1,0,Assumptions!$B$8*INDEX($C$4:$DR$4,1,DH$2-Assumptions!$C$8+1))</f>
        <v>225000</v>
      </c>
      <c r="DI12" s="30">
        <f>IF((DI$2-Assumptions!$C$8+1)&lt;1,0,Assumptions!$B$8*INDEX($C$4:$DR$4,1,DI$2-Assumptions!$C$8+1))</f>
        <v>225000</v>
      </c>
      <c r="DJ12" s="30">
        <f>IF((DJ$2-Assumptions!$C$8+1)&lt;1,0,Assumptions!$B$8*INDEX($C$4:$DR$4,1,DJ$2-Assumptions!$C$8+1))</f>
        <v>225000</v>
      </c>
      <c r="DK12" s="30">
        <f>IF((DK$2-Assumptions!$C$8+1)&lt;1,0,Assumptions!$B$8*INDEX($C$4:$DR$4,1,DK$2-Assumptions!$C$8+1))</f>
        <v>225000</v>
      </c>
      <c r="DL12" s="30">
        <f>IF((DL$2-Assumptions!$C$8+1)&lt;1,0,Assumptions!$B$8*INDEX($C$4:$DR$4,1,DL$2-Assumptions!$C$8+1))</f>
        <v>225000</v>
      </c>
      <c r="DM12" s="30">
        <f>IF((DM$2-Assumptions!$C$8+1)&lt;1,0,Assumptions!$B$8*INDEX($C$4:$DR$4,1,DM$2-Assumptions!$C$8+1))</f>
        <v>225000</v>
      </c>
      <c r="DN12" s="30">
        <f>IF((DN$2-Assumptions!$C$8+1)&lt;1,0,Assumptions!$B$8*INDEX($C$4:$DR$4,1,DN$2-Assumptions!$C$8+1))</f>
        <v>225000</v>
      </c>
      <c r="DO12" s="30">
        <f>IF((DO$2-Assumptions!$C$8+1)&lt;1,0,Assumptions!$B$8*INDEX($C$4:$DR$4,1,DO$2-Assumptions!$C$8+1))</f>
        <v>225000</v>
      </c>
      <c r="DP12" s="30">
        <f>IF((DP$2-Assumptions!$C$8+1)&lt;1,0,Assumptions!$B$8*INDEX($C$4:$DR$4,1,DP$2-Assumptions!$C$8+1))</f>
        <v>225000</v>
      </c>
      <c r="DQ12" s="30">
        <f>IF((DQ$2-Assumptions!$C$8+1)&lt;1,0,Assumptions!$B$8*INDEX($C$4:$DR$4,1,DQ$2-Assumptions!$C$8+1))</f>
        <v>225000</v>
      </c>
      <c r="DR12" s="30">
        <f>IF((DR$2-Assumptions!$C$8+1)&lt;1,0,Assumptions!$B$8*INDEX($C$4:$DR$4,1,DR$2-Assumptions!$C$8+1))</f>
        <v>225000</v>
      </c>
    </row>
    <row r="13" spans="1:122" x14ac:dyDescent="0.2">
      <c r="A13" s="9" t="s">
        <v>86</v>
      </c>
      <c r="C13" s="30">
        <f>IF((C$2-Assumptions!$C$9+1)&lt;1,0,Assumptions!$B$9*INDEX($C$4:$DR$4,1,C$2-Assumptions!$C$9+1))</f>
        <v>0</v>
      </c>
      <c r="D13" s="30">
        <f>IF((D$2-Assumptions!$C$9+1)&lt;1,0,Assumptions!$B$9*INDEX($C$4:$DR$4,1,D$2-Assumptions!$C$9+1))</f>
        <v>0</v>
      </c>
      <c r="E13" s="30">
        <f>IF((E$2-Assumptions!$C$9+1)&lt;1,0,Assumptions!$B$9*INDEX($C$4:$DR$4,1,E$2-Assumptions!$C$9+1))</f>
        <v>0</v>
      </c>
      <c r="F13" s="30">
        <f>IF((F$2-Assumptions!$C$9+1)&lt;1,0,Assumptions!$B$9*INDEX($C$4:$DR$4,1,F$2-Assumptions!$C$9+1))</f>
        <v>0</v>
      </c>
      <c r="G13" s="30">
        <f>IF((G$2-Assumptions!$C$9+1)&lt;1,0,Assumptions!$B$9*INDEX($C$4:$DR$4,1,G$2-Assumptions!$C$9+1))</f>
        <v>0</v>
      </c>
      <c r="H13" s="30">
        <f>IF((H$2-Assumptions!$C$9+1)&lt;1,0,Assumptions!$B$9*INDEX($C$4:$DR$4,1,H$2-Assumptions!$C$9+1))</f>
        <v>0</v>
      </c>
      <c r="I13" s="30">
        <f>IF((I$2-Assumptions!$C$9+1)&lt;1,0,Assumptions!$B$9*INDEX($C$4:$DR$4,1,I$2-Assumptions!$C$9+1))</f>
        <v>0</v>
      </c>
      <c r="J13" s="30">
        <f>IF((J$2-Assumptions!$C$9+1)&lt;1,0,Assumptions!$B$9*INDEX($C$4:$DR$4,1,J$2-Assumptions!$C$9+1))</f>
        <v>0</v>
      </c>
      <c r="K13" s="30">
        <f>IF((K$2-Assumptions!$C$9+1)&lt;1,0,Assumptions!$B$9*INDEX($C$4:$DR$4,1,K$2-Assumptions!$C$9+1))</f>
        <v>0</v>
      </c>
      <c r="L13" s="30">
        <f>IF((L$2-Assumptions!$C$9+1)&lt;1,0,Assumptions!$B$9*INDEX($C$4:$DR$4,1,L$2-Assumptions!$C$9+1))</f>
        <v>0</v>
      </c>
      <c r="M13" s="30">
        <f>IF((M$2-Assumptions!$C$9+1)&lt;1,0,Assumptions!$B$9*INDEX($C$4:$DR$4,1,M$2-Assumptions!$C$9+1))</f>
        <v>0</v>
      </c>
      <c r="N13" s="30">
        <f>IF((N$2-Assumptions!$C$9+1)&lt;1,0,Assumptions!$B$9*INDEX($C$4:$DR$4,1,N$2-Assumptions!$C$9+1))</f>
        <v>0</v>
      </c>
      <c r="O13" s="30">
        <f>IF((O$2-Assumptions!$C$9+1)&lt;1,0,Assumptions!$B$9*INDEX($C$4:$DR$4,1,O$2-Assumptions!$C$9+1))</f>
        <v>0</v>
      </c>
      <c r="P13" s="30">
        <f>IF((P$2-Assumptions!$C$9+1)&lt;1,0,Assumptions!$B$9*INDEX($C$4:$DR$4,1,P$2-Assumptions!$C$9+1))</f>
        <v>0</v>
      </c>
      <c r="Q13" s="30">
        <f>IF((Q$2-Assumptions!$C$9+1)&lt;1,0,Assumptions!$B$9*INDEX($C$4:$DR$4,1,Q$2-Assumptions!$C$9+1))</f>
        <v>0</v>
      </c>
      <c r="R13" s="30">
        <f>IF((R$2-Assumptions!$C$9+1)&lt;1,0,Assumptions!$B$9*INDEX($C$4:$DR$4,1,R$2-Assumptions!$C$9+1))</f>
        <v>0</v>
      </c>
      <c r="S13" s="30">
        <f>IF((S$2-Assumptions!$C$9+1)&lt;1,0,Assumptions!$B$9*INDEX($C$4:$DR$4,1,S$2-Assumptions!$C$9+1))</f>
        <v>0</v>
      </c>
      <c r="T13" s="30">
        <f>IF((T$2-Assumptions!$C$9+1)&lt;1,0,Assumptions!$B$9*INDEX($C$4:$DR$4,1,T$2-Assumptions!$C$9+1))</f>
        <v>0</v>
      </c>
      <c r="U13" s="30">
        <f>IF((U$2-Assumptions!$C$9+1)&lt;1,0,Assumptions!$B$9*INDEX($C$4:$DR$4,1,U$2-Assumptions!$C$9+1))</f>
        <v>0</v>
      </c>
      <c r="V13" s="30">
        <f>IF((V$2-Assumptions!$C$9+1)&lt;1,0,Assumptions!$B$9*INDEX($C$4:$DR$4,1,V$2-Assumptions!$C$9+1))</f>
        <v>0</v>
      </c>
      <c r="W13" s="30">
        <f>IF((W$2-Assumptions!$C$9+1)&lt;1,0,Assumptions!$B$9*INDEX($C$4:$DR$4,1,W$2-Assumptions!$C$9+1))</f>
        <v>0</v>
      </c>
      <c r="X13" s="30">
        <f>IF((X$2-Assumptions!$C$9+1)&lt;1,0,Assumptions!$B$9*INDEX($C$4:$DR$4,1,X$2-Assumptions!$C$9+1))</f>
        <v>0</v>
      </c>
      <c r="Y13" s="30">
        <f>IF((Y$2-Assumptions!$C$9+1)&lt;1,0,Assumptions!$B$9*INDEX($C$4:$DR$4,1,Y$2-Assumptions!$C$9+1))</f>
        <v>0</v>
      </c>
      <c r="Z13" s="30">
        <f>IF((Z$2-Assumptions!$C$9+1)&lt;1,0,Assumptions!$B$9*INDEX($C$4:$DR$4,1,Z$2-Assumptions!$C$9+1))</f>
        <v>0</v>
      </c>
      <c r="AA13" s="30">
        <f>IF((AA$2-Assumptions!$C$9+1)&lt;1,0,Assumptions!$B$9*INDEX($C$4:$DR$4,1,AA$2-Assumptions!$C$9+1))</f>
        <v>0</v>
      </c>
      <c r="AB13" s="30">
        <f>IF((AB$2-Assumptions!$C$9+1)&lt;1,0,Assumptions!$B$9*INDEX($C$4:$DR$4,1,AB$2-Assumptions!$C$9+1))</f>
        <v>0</v>
      </c>
      <c r="AC13" s="30">
        <f>IF((AC$2-Assumptions!$C$9+1)&lt;1,0,Assumptions!$B$9*INDEX($C$4:$DR$4,1,AC$2-Assumptions!$C$9+1))</f>
        <v>0</v>
      </c>
      <c r="AD13" s="30">
        <f>IF((AD$2-Assumptions!$C$9+1)&lt;1,0,Assumptions!$B$9*INDEX($C$4:$DR$4,1,AD$2-Assumptions!$C$9+1))</f>
        <v>0</v>
      </c>
      <c r="AE13" s="30">
        <f>IF((AE$2-Assumptions!$C$9+1)&lt;1,0,Assumptions!$B$9*INDEX($C$4:$DR$4,1,AE$2-Assumptions!$C$9+1))</f>
        <v>0</v>
      </c>
      <c r="AF13" s="30">
        <f>IF((AF$2-Assumptions!$C$9+1)&lt;1,0,Assumptions!$B$9*INDEX($C$4:$DR$4,1,AF$2-Assumptions!$C$9+1))</f>
        <v>0</v>
      </c>
      <c r="AG13" s="30">
        <f>IF((AG$2-Assumptions!$C$9+1)&lt;1,0,Assumptions!$B$9*INDEX($C$4:$DR$4,1,AG$2-Assumptions!$C$9+1))</f>
        <v>0</v>
      </c>
      <c r="AH13" s="30">
        <f>IF((AH$2-Assumptions!$C$9+1)&lt;1,0,Assumptions!$B$9*INDEX($C$4:$DR$4,1,AH$2-Assumptions!$C$9+1))</f>
        <v>0</v>
      </c>
      <c r="AI13" s="30">
        <f>IF((AI$2-Assumptions!$C$9+1)&lt;1,0,Assumptions!$B$9*INDEX($C$4:$DR$4,1,AI$2-Assumptions!$C$9+1))</f>
        <v>0</v>
      </c>
      <c r="AJ13" s="30">
        <f>IF((AJ$2-Assumptions!$C$9+1)&lt;1,0,Assumptions!$B$9*INDEX($C$4:$DR$4,1,AJ$2-Assumptions!$C$9+1))</f>
        <v>0</v>
      </c>
      <c r="AK13" s="30">
        <f>IF((AK$2-Assumptions!$C$9+1)&lt;1,0,Assumptions!$B$9*INDEX($C$4:$DR$4,1,AK$2-Assumptions!$C$9+1))</f>
        <v>0</v>
      </c>
      <c r="AL13" s="30">
        <f>IF((AL$2-Assumptions!$C$9+1)&lt;1,0,Assumptions!$B$9*INDEX($C$4:$DR$4,1,AL$2-Assumptions!$C$9+1))</f>
        <v>0</v>
      </c>
      <c r="AM13" s="30">
        <f>IF((AM$2-Assumptions!$C$9+1)&lt;1,0,Assumptions!$B$9*INDEX($C$4:$DR$4,1,AM$2-Assumptions!$C$9+1))</f>
        <v>0</v>
      </c>
      <c r="AN13" s="30">
        <f>IF((AN$2-Assumptions!$C$9+1)&lt;1,0,Assumptions!$B$9*INDEX($C$4:$DR$4,1,AN$2-Assumptions!$C$9+1))</f>
        <v>0</v>
      </c>
      <c r="AO13" s="30">
        <f>IF((AO$2-Assumptions!$C$9+1)&lt;1,0,Assumptions!$B$9*INDEX($C$4:$DR$4,1,AO$2-Assumptions!$C$9+1))</f>
        <v>0</v>
      </c>
      <c r="AP13" s="30">
        <f>IF((AP$2-Assumptions!$C$9+1)&lt;1,0,Assumptions!$B$9*INDEX($C$4:$DR$4,1,AP$2-Assumptions!$C$9+1))</f>
        <v>0</v>
      </c>
      <c r="AQ13" s="30">
        <f>IF((AQ$2-Assumptions!$C$9+1)&lt;1,0,Assumptions!$B$9*INDEX($C$4:$DR$4,1,AQ$2-Assumptions!$C$9+1))</f>
        <v>0</v>
      </c>
      <c r="AR13" s="30">
        <f>IF((AR$2-Assumptions!$C$9+1)&lt;1,0,Assumptions!$B$9*INDEX($C$4:$DR$4,1,AR$2-Assumptions!$C$9+1))</f>
        <v>0</v>
      </c>
      <c r="AS13" s="30">
        <f>IF((AS$2-Assumptions!$C$9+1)&lt;1,0,Assumptions!$B$9*INDEX($C$4:$DR$4,1,AS$2-Assumptions!$C$9+1))</f>
        <v>0</v>
      </c>
      <c r="AT13" s="30">
        <f>IF((AT$2-Assumptions!$C$9+1)&lt;1,0,Assumptions!$B$9*INDEX($C$4:$DR$4,1,AT$2-Assumptions!$C$9+1))</f>
        <v>0</v>
      </c>
      <c r="AU13" s="30">
        <f>IF((AU$2-Assumptions!$C$9+1)&lt;1,0,Assumptions!$B$9*INDEX($C$4:$DR$4,1,AU$2-Assumptions!$C$9+1))</f>
        <v>0</v>
      </c>
      <c r="AV13" s="30">
        <f>IF((AV$2-Assumptions!$C$9+1)&lt;1,0,Assumptions!$B$9*INDEX($C$4:$DR$4,1,AV$2-Assumptions!$C$9+1))</f>
        <v>0</v>
      </c>
      <c r="AW13" s="30">
        <f>IF((AW$2-Assumptions!$C$9+1)&lt;1,0,Assumptions!$B$9*INDEX($C$4:$DR$4,1,AW$2-Assumptions!$C$9+1))</f>
        <v>0</v>
      </c>
      <c r="AX13" s="30">
        <f>IF((AX$2-Assumptions!$C$9+1)&lt;1,0,Assumptions!$B$9*INDEX($C$4:$DR$4,1,AX$2-Assumptions!$C$9+1))</f>
        <v>0</v>
      </c>
      <c r="AY13" s="30">
        <f>IF((AY$2-Assumptions!$C$9+1)&lt;1,0,Assumptions!$B$9*INDEX($C$4:$DR$4,1,AY$2-Assumptions!$C$9+1))</f>
        <v>0</v>
      </c>
      <c r="AZ13" s="30">
        <f>IF((AZ$2-Assumptions!$C$9+1)&lt;1,0,Assumptions!$B$9*INDEX($C$4:$DR$4,1,AZ$2-Assumptions!$C$9+1))</f>
        <v>0</v>
      </c>
      <c r="BA13" s="30">
        <f>IF((BA$2-Assumptions!$C$9+1)&lt;1,0,Assumptions!$B$9*INDEX($C$4:$DR$4,1,BA$2-Assumptions!$C$9+1))</f>
        <v>0</v>
      </c>
      <c r="BB13" s="30">
        <f>IF((BB$2-Assumptions!$C$9+1)&lt;1,0,Assumptions!$B$9*INDEX($C$4:$DR$4,1,BB$2-Assumptions!$C$9+1))</f>
        <v>0</v>
      </c>
      <c r="BC13" s="30">
        <f>IF((BC$2-Assumptions!$C$9+1)&lt;1,0,Assumptions!$B$9*INDEX($C$4:$DR$4,1,BC$2-Assumptions!$C$9+1))</f>
        <v>0</v>
      </c>
      <c r="BD13" s="30">
        <f>IF((BD$2-Assumptions!$C$9+1)&lt;1,0,Assumptions!$B$9*INDEX($C$4:$DR$4,1,BD$2-Assumptions!$C$9+1))</f>
        <v>0</v>
      </c>
      <c r="BE13" s="30">
        <f>IF((BE$2-Assumptions!$C$9+1)&lt;1,0,Assumptions!$B$9*INDEX($C$4:$DR$4,1,BE$2-Assumptions!$C$9+1))</f>
        <v>0</v>
      </c>
      <c r="BF13" s="30">
        <f>IF((BF$2-Assumptions!$C$9+1)&lt;1,0,Assumptions!$B$9*INDEX($C$4:$DR$4,1,BF$2-Assumptions!$C$9+1))</f>
        <v>0</v>
      </c>
      <c r="BG13" s="30">
        <f>IF((BG$2-Assumptions!$C$9+1)&lt;1,0,Assumptions!$B$9*INDEX($C$4:$DR$4,1,BG$2-Assumptions!$C$9+1))</f>
        <v>0</v>
      </c>
      <c r="BH13" s="30">
        <f>IF((BH$2-Assumptions!$C$9+1)&lt;1,0,Assumptions!$B$9*INDEX($C$4:$DR$4,1,BH$2-Assumptions!$C$9+1))</f>
        <v>0</v>
      </c>
      <c r="BI13" s="30">
        <f>IF((BI$2-Assumptions!$C$9+1)&lt;1,0,Assumptions!$B$9*INDEX($C$4:$DR$4,1,BI$2-Assumptions!$C$9+1))</f>
        <v>0</v>
      </c>
      <c r="BJ13" s="30">
        <f>IF((BJ$2-Assumptions!$C$9+1)&lt;1,0,Assumptions!$B$9*INDEX($C$4:$DR$4,1,BJ$2-Assumptions!$C$9+1))</f>
        <v>0</v>
      </c>
      <c r="BK13" s="30">
        <f>IF((BK$2-Assumptions!$C$9+1)&lt;1,0,Assumptions!$B$9*INDEX($C$4:$DR$4,1,BK$2-Assumptions!$C$9+1))</f>
        <v>0</v>
      </c>
      <c r="BL13" s="30">
        <f>IF((BL$2-Assumptions!$C$9+1)&lt;1,0,Assumptions!$B$9*INDEX($C$4:$DR$4,1,BL$2-Assumptions!$C$9+1))</f>
        <v>0</v>
      </c>
      <c r="BM13" s="30">
        <f>IF((BM$2-Assumptions!$C$9+1)&lt;1,0,Assumptions!$B$9*INDEX($C$4:$DR$4,1,BM$2-Assumptions!$C$9+1))</f>
        <v>0</v>
      </c>
      <c r="BN13" s="30">
        <f>IF((BN$2-Assumptions!$C$9+1)&lt;1,0,Assumptions!$B$9*INDEX($C$4:$DR$4,1,BN$2-Assumptions!$C$9+1))</f>
        <v>0</v>
      </c>
      <c r="BO13" s="30">
        <f>IF((BO$2-Assumptions!$C$9+1)&lt;1,0,Assumptions!$B$9*INDEX($C$4:$DR$4,1,BO$2-Assumptions!$C$9+1))</f>
        <v>0</v>
      </c>
      <c r="BP13" s="30">
        <f>IF((BP$2-Assumptions!$C$9+1)&lt;1,0,Assumptions!$B$9*INDEX($C$4:$DR$4,1,BP$2-Assumptions!$C$9+1))</f>
        <v>0</v>
      </c>
      <c r="BQ13" s="30">
        <f>IF((BQ$2-Assumptions!$C$9+1)&lt;1,0,Assumptions!$B$9*INDEX($C$4:$DR$4,1,BQ$2-Assumptions!$C$9+1))</f>
        <v>0</v>
      </c>
      <c r="BR13" s="30">
        <f>IF((BR$2-Assumptions!$C$9+1)&lt;1,0,Assumptions!$B$9*INDEX($C$4:$DR$4,1,BR$2-Assumptions!$C$9+1))</f>
        <v>0</v>
      </c>
      <c r="BS13" s="30">
        <f>IF((BS$2-Assumptions!$C$9+1)&lt;1,0,Assumptions!$B$9*INDEX($C$4:$DR$4,1,BS$2-Assumptions!$C$9+1))</f>
        <v>0</v>
      </c>
      <c r="BT13" s="30">
        <f>IF((BT$2-Assumptions!$C$9+1)&lt;1,0,Assumptions!$B$9*INDEX($C$4:$DR$4,1,BT$2-Assumptions!$C$9+1))</f>
        <v>0</v>
      </c>
      <c r="BU13" s="30">
        <f>IF((BU$2-Assumptions!$C$9+1)&lt;1,0,Assumptions!$B$9*INDEX($C$4:$DR$4,1,BU$2-Assumptions!$C$9+1))</f>
        <v>0</v>
      </c>
      <c r="BV13" s="30">
        <f>IF((BV$2-Assumptions!$C$9+1)&lt;1,0,Assumptions!$B$9*INDEX($C$4:$DR$4,1,BV$2-Assumptions!$C$9+1))</f>
        <v>0</v>
      </c>
      <c r="BW13" s="30">
        <f>IF((BW$2-Assumptions!$C$9+1)&lt;1,0,Assumptions!$B$9*INDEX($C$4:$DR$4,1,BW$2-Assumptions!$C$9+1))</f>
        <v>6250</v>
      </c>
      <c r="BX13" s="30">
        <f>IF((BX$2-Assumptions!$C$9+1)&lt;1,0,Assumptions!$B$9*INDEX($C$4:$DR$4,1,BX$2-Assumptions!$C$9+1))</f>
        <v>12500</v>
      </c>
      <c r="BY13" s="30">
        <f>IF((BY$2-Assumptions!$C$9+1)&lt;1,0,Assumptions!$B$9*INDEX($C$4:$DR$4,1,BY$2-Assumptions!$C$9+1))</f>
        <v>18750.000000000004</v>
      </c>
      <c r="BZ13" s="30">
        <f>IF((BZ$2-Assumptions!$C$9+1)&lt;1,0,Assumptions!$B$9*INDEX($C$4:$DR$4,1,BZ$2-Assumptions!$C$9+1))</f>
        <v>25000</v>
      </c>
      <c r="CA13" s="30">
        <f>IF((CA$2-Assumptions!$C$9+1)&lt;1,0,Assumptions!$B$9*INDEX($C$4:$DR$4,1,CA$2-Assumptions!$C$9+1))</f>
        <v>31250</v>
      </c>
      <c r="CB13" s="30">
        <f>IF((CB$2-Assumptions!$C$9+1)&lt;1,0,Assumptions!$B$9*INDEX($C$4:$DR$4,1,CB$2-Assumptions!$C$9+1))</f>
        <v>37500.000000000007</v>
      </c>
      <c r="CC13" s="30">
        <f>IF((CC$2-Assumptions!$C$9+1)&lt;1,0,Assumptions!$B$9*INDEX($C$4:$DR$4,1,CC$2-Assumptions!$C$9+1))</f>
        <v>43750</v>
      </c>
      <c r="CD13" s="30">
        <f>IF((CD$2-Assumptions!$C$9+1)&lt;1,0,Assumptions!$B$9*INDEX($C$4:$DR$4,1,CD$2-Assumptions!$C$9+1))</f>
        <v>50000</v>
      </c>
      <c r="CE13" s="30">
        <f>IF((CE$2-Assumptions!$C$9+1)&lt;1,0,Assumptions!$B$9*INDEX($C$4:$DR$4,1,CE$2-Assumptions!$C$9+1))</f>
        <v>56249.999999999993</v>
      </c>
      <c r="CF13" s="30">
        <f>IF((CF$2-Assumptions!$C$9+1)&lt;1,0,Assumptions!$B$9*INDEX($C$4:$DR$4,1,CF$2-Assumptions!$C$9+1))</f>
        <v>62500</v>
      </c>
      <c r="CG13" s="30">
        <f>IF((CG$2-Assumptions!$C$9+1)&lt;1,0,Assumptions!$B$9*INDEX($C$4:$DR$4,1,CG$2-Assumptions!$C$9+1))</f>
        <v>68750</v>
      </c>
      <c r="CH13" s="30">
        <f>IF((CH$2-Assumptions!$C$9+1)&lt;1,0,Assumptions!$B$9*INDEX($C$4:$DR$4,1,CH$2-Assumptions!$C$9+1))</f>
        <v>75000.000000000015</v>
      </c>
      <c r="CI13" s="30">
        <f>IF((CI$2-Assumptions!$C$9+1)&lt;1,0,Assumptions!$B$9*INDEX($C$4:$DR$4,1,CI$2-Assumptions!$C$9+1))</f>
        <v>81250</v>
      </c>
      <c r="CJ13" s="30">
        <f>IF((CJ$2-Assumptions!$C$9+1)&lt;1,0,Assumptions!$B$9*INDEX($C$4:$DR$4,1,CJ$2-Assumptions!$C$9+1))</f>
        <v>87500</v>
      </c>
      <c r="CK13" s="30">
        <f>IF((CK$2-Assumptions!$C$9+1)&lt;1,0,Assumptions!$B$9*INDEX($C$4:$DR$4,1,CK$2-Assumptions!$C$9+1))</f>
        <v>93750</v>
      </c>
      <c r="CL13" s="30">
        <f>IF((CL$2-Assumptions!$C$9+1)&lt;1,0,Assumptions!$B$9*INDEX($C$4:$DR$4,1,CL$2-Assumptions!$C$9+1))</f>
        <v>100000</v>
      </c>
      <c r="CM13" s="30">
        <f>IF((CM$2-Assumptions!$C$9+1)&lt;1,0,Assumptions!$B$9*INDEX($C$4:$DR$4,1,CM$2-Assumptions!$C$9+1))</f>
        <v>106250.00000000001</v>
      </c>
      <c r="CN13" s="30">
        <f>IF((CN$2-Assumptions!$C$9+1)&lt;1,0,Assumptions!$B$9*INDEX($C$4:$DR$4,1,CN$2-Assumptions!$C$9+1))</f>
        <v>112499.99999999999</v>
      </c>
      <c r="CO13" s="30">
        <f>IF((CO$2-Assumptions!$C$9+1)&lt;1,0,Assumptions!$B$9*INDEX($C$4:$DR$4,1,CO$2-Assumptions!$C$9+1))</f>
        <v>118750.00000000001</v>
      </c>
      <c r="CP13" s="30">
        <f>IF((CP$2-Assumptions!$C$9+1)&lt;1,0,Assumptions!$B$9*INDEX($C$4:$DR$4,1,CP$2-Assumptions!$C$9+1))</f>
        <v>125000</v>
      </c>
      <c r="CQ13" s="30">
        <f>IF((CQ$2-Assumptions!$C$9+1)&lt;1,0,Assumptions!$B$9*INDEX($C$4:$DR$4,1,CQ$2-Assumptions!$C$9+1))</f>
        <v>131250</v>
      </c>
      <c r="CR13" s="30">
        <f>IF((CR$2-Assumptions!$C$9+1)&lt;1,0,Assumptions!$B$9*INDEX($C$4:$DR$4,1,CR$2-Assumptions!$C$9+1))</f>
        <v>137500</v>
      </c>
      <c r="CS13" s="30">
        <f>IF((CS$2-Assumptions!$C$9+1)&lt;1,0,Assumptions!$B$9*INDEX($C$4:$DR$4,1,CS$2-Assumptions!$C$9+1))</f>
        <v>143750</v>
      </c>
      <c r="CT13" s="30">
        <f>IF((CT$2-Assumptions!$C$9+1)&lt;1,0,Assumptions!$B$9*INDEX($C$4:$DR$4,1,CT$2-Assumptions!$C$9+1))</f>
        <v>150000.00000000003</v>
      </c>
      <c r="CU13" s="30">
        <f>IF((CU$2-Assumptions!$C$9+1)&lt;1,0,Assumptions!$B$9*INDEX($C$4:$DR$4,1,CU$2-Assumptions!$C$9+1))</f>
        <v>156250</v>
      </c>
      <c r="CV13" s="30">
        <f>IF((CV$2-Assumptions!$C$9+1)&lt;1,0,Assumptions!$B$9*INDEX($C$4:$DR$4,1,CV$2-Assumptions!$C$9+1))</f>
        <v>162500</v>
      </c>
      <c r="CW13" s="30">
        <f>IF((CW$2-Assumptions!$C$9+1)&lt;1,0,Assumptions!$B$9*INDEX($C$4:$DR$4,1,CW$2-Assumptions!$C$9+1))</f>
        <v>168750</v>
      </c>
      <c r="CX13" s="30">
        <f>IF((CX$2-Assumptions!$C$9+1)&lt;1,0,Assumptions!$B$9*INDEX($C$4:$DR$4,1,CX$2-Assumptions!$C$9+1))</f>
        <v>175000</v>
      </c>
      <c r="CY13" s="30">
        <f>IF((CY$2-Assumptions!$C$9+1)&lt;1,0,Assumptions!$B$9*INDEX($C$4:$DR$4,1,CY$2-Assumptions!$C$9+1))</f>
        <v>181250.00000000003</v>
      </c>
      <c r="CZ13" s="30">
        <f>IF((CZ$2-Assumptions!$C$9+1)&lt;1,0,Assumptions!$B$9*INDEX($C$4:$DR$4,1,CZ$2-Assumptions!$C$9+1))</f>
        <v>187500</v>
      </c>
      <c r="DA13" s="30">
        <f>IF((DA$2-Assumptions!$C$9+1)&lt;1,0,Assumptions!$B$9*INDEX($C$4:$DR$4,1,DA$2-Assumptions!$C$9+1))</f>
        <v>193750</v>
      </c>
      <c r="DB13" s="30">
        <f>IF((DB$2-Assumptions!$C$9+1)&lt;1,0,Assumptions!$B$9*INDEX($C$4:$DR$4,1,DB$2-Assumptions!$C$9+1))</f>
        <v>200000</v>
      </c>
      <c r="DC13" s="30">
        <f>IF((DC$2-Assumptions!$C$9+1)&lt;1,0,Assumptions!$B$9*INDEX($C$4:$DR$4,1,DC$2-Assumptions!$C$9+1))</f>
        <v>206250</v>
      </c>
      <c r="DD13" s="30">
        <f>IF((DD$2-Assumptions!$C$9+1)&lt;1,0,Assumptions!$B$9*INDEX($C$4:$DR$4,1,DD$2-Assumptions!$C$9+1))</f>
        <v>212500.00000000003</v>
      </c>
      <c r="DE13" s="30">
        <f>IF((DE$2-Assumptions!$C$9+1)&lt;1,0,Assumptions!$B$9*INDEX($C$4:$DR$4,1,DE$2-Assumptions!$C$9+1))</f>
        <v>218750</v>
      </c>
      <c r="DF13" s="30">
        <f>IF((DF$2-Assumptions!$C$9+1)&lt;1,0,Assumptions!$B$9*INDEX($C$4:$DR$4,1,DF$2-Assumptions!$C$9+1))</f>
        <v>224999.99999999997</v>
      </c>
      <c r="DG13" s="30">
        <f>IF((DG$2-Assumptions!$C$9+1)&lt;1,0,Assumptions!$B$9*INDEX($C$4:$DR$4,1,DG$2-Assumptions!$C$9+1))</f>
        <v>225000</v>
      </c>
      <c r="DH13" s="30">
        <f>IF((DH$2-Assumptions!$C$9+1)&lt;1,0,Assumptions!$B$9*INDEX($C$4:$DR$4,1,DH$2-Assumptions!$C$9+1))</f>
        <v>225000</v>
      </c>
      <c r="DI13" s="30">
        <f>IF((DI$2-Assumptions!$C$9+1)&lt;1,0,Assumptions!$B$9*INDEX($C$4:$DR$4,1,DI$2-Assumptions!$C$9+1))</f>
        <v>225000</v>
      </c>
      <c r="DJ13" s="30">
        <f>IF((DJ$2-Assumptions!$C$9+1)&lt;1,0,Assumptions!$B$9*INDEX($C$4:$DR$4,1,DJ$2-Assumptions!$C$9+1))</f>
        <v>225000</v>
      </c>
      <c r="DK13" s="30">
        <f>IF((DK$2-Assumptions!$C$9+1)&lt;1,0,Assumptions!$B$9*INDEX($C$4:$DR$4,1,DK$2-Assumptions!$C$9+1))</f>
        <v>225000</v>
      </c>
      <c r="DL13" s="30">
        <f>IF((DL$2-Assumptions!$C$9+1)&lt;1,0,Assumptions!$B$9*INDEX($C$4:$DR$4,1,DL$2-Assumptions!$C$9+1))</f>
        <v>225000</v>
      </c>
      <c r="DM13" s="30">
        <f>IF((DM$2-Assumptions!$C$9+1)&lt;1,0,Assumptions!$B$9*INDEX($C$4:$DR$4,1,DM$2-Assumptions!$C$9+1))</f>
        <v>225000</v>
      </c>
      <c r="DN13" s="30">
        <f>IF((DN$2-Assumptions!$C$9+1)&lt;1,0,Assumptions!$B$9*INDEX($C$4:$DR$4,1,DN$2-Assumptions!$C$9+1))</f>
        <v>225000</v>
      </c>
      <c r="DO13" s="30">
        <f>IF((DO$2-Assumptions!$C$9+1)&lt;1,0,Assumptions!$B$9*INDEX($C$4:$DR$4,1,DO$2-Assumptions!$C$9+1))</f>
        <v>225000</v>
      </c>
      <c r="DP13" s="30">
        <f>IF((DP$2-Assumptions!$C$9+1)&lt;1,0,Assumptions!$B$9*INDEX($C$4:$DR$4,1,DP$2-Assumptions!$C$9+1))</f>
        <v>225000</v>
      </c>
      <c r="DQ13" s="30">
        <f>IF((DQ$2-Assumptions!$C$9+1)&lt;1,0,Assumptions!$B$9*INDEX($C$4:$DR$4,1,DQ$2-Assumptions!$C$9+1))</f>
        <v>225000</v>
      </c>
      <c r="DR13" s="30">
        <f>IF((DR$2-Assumptions!$C$9+1)&lt;1,0,Assumptions!$B$9*INDEX($C$4:$DR$4,1,DR$2-Assumptions!$C$9+1))</f>
        <v>225000</v>
      </c>
    </row>
    <row r="15" spans="1:122" x14ac:dyDescent="0.2">
      <c r="A15" s="9" t="s">
        <v>87</v>
      </c>
      <c r="C15" s="30">
        <f t="shared" ref="C15:AH15" si="4">SUM(C8:C13)</f>
        <v>4375</v>
      </c>
      <c r="D15" s="30">
        <f t="shared" si="4"/>
        <v>8750</v>
      </c>
      <c r="E15" s="30">
        <f t="shared" si="4"/>
        <v>13125.000000000002</v>
      </c>
      <c r="F15" s="30">
        <f t="shared" si="4"/>
        <v>17500</v>
      </c>
      <c r="G15" s="30">
        <f t="shared" si="4"/>
        <v>21875</v>
      </c>
      <c r="H15" s="30">
        <f t="shared" si="4"/>
        <v>26250.000000000004</v>
      </c>
      <c r="I15" s="30">
        <f t="shared" si="4"/>
        <v>30624.999999999996</v>
      </c>
      <c r="J15" s="30">
        <f t="shared" si="4"/>
        <v>35000</v>
      </c>
      <c r="K15" s="30">
        <f t="shared" si="4"/>
        <v>39374.999999999993</v>
      </c>
      <c r="L15" s="30">
        <f t="shared" si="4"/>
        <v>43750</v>
      </c>
      <c r="M15" s="30">
        <f t="shared" si="4"/>
        <v>48125.000000000007</v>
      </c>
      <c r="N15" s="30">
        <f t="shared" si="4"/>
        <v>52500.000000000007</v>
      </c>
      <c r="O15" s="30">
        <f t="shared" si="4"/>
        <v>56875</v>
      </c>
      <c r="P15" s="30">
        <f t="shared" si="4"/>
        <v>61249.999999999993</v>
      </c>
      <c r="Q15" s="30">
        <f t="shared" si="4"/>
        <v>65625</v>
      </c>
      <c r="R15" s="30">
        <f t="shared" si="4"/>
        <v>70000</v>
      </c>
      <c r="S15" s="30">
        <f t="shared" si="4"/>
        <v>74375.000000000015</v>
      </c>
      <c r="T15" s="30">
        <f t="shared" si="4"/>
        <v>78749.999999999985</v>
      </c>
      <c r="U15" s="30">
        <f t="shared" si="4"/>
        <v>83125</v>
      </c>
      <c r="V15" s="30">
        <f t="shared" si="4"/>
        <v>87500</v>
      </c>
      <c r="W15" s="30">
        <f t="shared" si="4"/>
        <v>91875</v>
      </c>
      <c r="X15" s="30">
        <f t="shared" si="4"/>
        <v>96250.000000000015</v>
      </c>
      <c r="Y15" s="30">
        <f t="shared" si="4"/>
        <v>100624.99999999999</v>
      </c>
      <c r="Z15" s="30">
        <f t="shared" si="4"/>
        <v>105000.00000000001</v>
      </c>
      <c r="AA15" s="30">
        <f t="shared" si="4"/>
        <v>113750</v>
      </c>
      <c r="AB15" s="30">
        <f t="shared" si="4"/>
        <v>122500</v>
      </c>
      <c r="AC15" s="30">
        <f t="shared" si="4"/>
        <v>131250.00000000003</v>
      </c>
      <c r="AD15" s="30">
        <f t="shared" si="4"/>
        <v>140000</v>
      </c>
      <c r="AE15" s="30">
        <f t="shared" si="4"/>
        <v>148750</v>
      </c>
      <c r="AF15" s="30">
        <f t="shared" si="4"/>
        <v>157500</v>
      </c>
      <c r="AG15" s="30">
        <f t="shared" si="4"/>
        <v>166250</v>
      </c>
      <c r="AH15" s="30">
        <f t="shared" si="4"/>
        <v>175000</v>
      </c>
      <c r="AI15" s="30">
        <f t="shared" ref="AI15:BN15" si="5">SUM(AI8:AI13)</f>
        <v>183750</v>
      </c>
      <c r="AJ15" s="30">
        <f t="shared" si="5"/>
        <v>192500.00000000003</v>
      </c>
      <c r="AK15" s="30">
        <f t="shared" si="5"/>
        <v>201250</v>
      </c>
      <c r="AL15" s="30">
        <f t="shared" si="5"/>
        <v>209999.99999999997</v>
      </c>
      <c r="AM15" s="30">
        <f t="shared" si="5"/>
        <v>218125</v>
      </c>
      <c r="AN15" s="30">
        <f t="shared" si="5"/>
        <v>226250</v>
      </c>
      <c r="AO15" s="30">
        <f t="shared" si="5"/>
        <v>234375</v>
      </c>
      <c r="AP15" s="30">
        <f t="shared" si="5"/>
        <v>242500</v>
      </c>
      <c r="AQ15" s="30">
        <f t="shared" si="5"/>
        <v>250625</v>
      </c>
      <c r="AR15" s="30">
        <f t="shared" si="5"/>
        <v>258750</v>
      </c>
      <c r="AS15" s="30">
        <f t="shared" si="5"/>
        <v>266875</v>
      </c>
      <c r="AT15" s="30">
        <f t="shared" si="5"/>
        <v>275000</v>
      </c>
      <c r="AU15" s="30">
        <f t="shared" si="5"/>
        <v>283125</v>
      </c>
      <c r="AV15" s="30">
        <f t="shared" si="5"/>
        <v>291250</v>
      </c>
      <c r="AW15" s="30">
        <f t="shared" si="5"/>
        <v>299375</v>
      </c>
      <c r="AX15" s="30">
        <f t="shared" si="5"/>
        <v>307500</v>
      </c>
      <c r="AY15" s="30">
        <f t="shared" si="5"/>
        <v>321875</v>
      </c>
      <c r="AZ15" s="30">
        <f t="shared" si="5"/>
        <v>336250</v>
      </c>
      <c r="BA15" s="30">
        <f t="shared" si="5"/>
        <v>350625</v>
      </c>
      <c r="BB15" s="30">
        <f t="shared" si="5"/>
        <v>365000</v>
      </c>
      <c r="BC15" s="30">
        <f t="shared" si="5"/>
        <v>379375</v>
      </c>
      <c r="BD15" s="30">
        <f t="shared" si="5"/>
        <v>393750</v>
      </c>
      <c r="BE15" s="30">
        <f t="shared" si="5"/>
        <v>408125</v>
      </c>
      <c r="BF15" s="30">
        <f t="shared" si="5"/>
        <v>422500</v>
      </c>
      <c r="BG15" s="30">
        <f t="shared" si="5"/>
        <v>436875</v>
      </c>
      <c r="BH15" s="30">
        <f t="shared" si="5"/>
        <v>451250</v>
      </c>
      <c r="BI15" s="30">
        <f t="shared" si="5"/>
        <v>465625</v>
      </c>
      <c r="BJ15" s="30">
        <f t="shared" si="5"/>
        <v>480000</v>
      </c>
      <c r="BK15" s="30">
        <f t="shared" si="5"/>
        <v>496250</v>
      </c>
      <c r="BL15" s="30">
        <f t="shared" si="5"/>
        <v>512500</v>
      </c>
      <c r="BM15" s="30">
        <f t="shared" si="5"/>
        <v>528750</v>
      </c>
      <c r="BN15" s="30">
        <f t="shared" si="5"/>
        <v>545000</v>
      </c>
      <c r="BO15" s="30">
        <f t="shared" ref="BO15:CT15" si="6">SUM(BO8:BO13)</f>
        <v>561250</v>
      </c>
      <c r="BP15" s="30">
        <f t="shared" si="6"/>
        <v>577500</v>
      </c>
      <c r="BQ15" s="30">
        <f t="shared" si="6"/>
        <v>593750</v>
      </c>
      <c r="BR15" s="30">
        <f t="shared" si="6"/>
        <v>610000</v>
      </c>
      <c r="BS15" s="30">
        <f t="shared" si="6"/>
        <v>626250</v>
      </c>
      <c r="BT15" s="30">
        <f t="shared" si="6"/>
        <v>642500</v>
      </c>
      <c r="BU15" s="30">
        <f t="shared" si="6"/>
        <v>658750</v>
      </c>
      <c r="BV15" s="30">
        <f t="shared" si="6"/>
        <v>675000</v>
      </c>
      <c r="BW15" s="30">
        <f t="shared" si="6"/>
        <v>693750</v>
      </c>
      <c r="BX15" s="30">
        <f t="shared" si="6"/>
        <v>712500</v>
      </c>
      <c r="BY15" s="30">
        <f t="shared" si="6"/>
        <v>731250</v>
      </c>
      <c r="BZ15" s="30">
        <f t="shared" si="6"/>
        <v>750000</v>
      </c>
      <c r="CA15" s="30">
        <f t="shared" si="6"/>
        <v>768750</v>
      </c>
      <c r="CB15" s="30">
        <f t="shared" si="6"/>
        <v>787500</v>
      </c>
      <c r="CC15" s="30">
        <f t="shared" si="6"/>
        <v>806250</v>
      </c>
      <c r="CD15" s="30">
        <f t="shared" si="6"/>
        <v>825000</v>
      </c>
      <c r="CE15" s="30">
        <f t="shared" si="6"/>
        <v>843750</v>
      </c>
      <c r="CF15" s="30">
        <f t="shared" si="6"/>
        <v>862500</v>
      </c>
      <c r="CG15" s="30">
        <f t="shared" si="6"/>
        <v>881250</v>
      </c>
      <c r="CH15" s="30">
        <f t="shared" si="6"/>
        <v>900000</v>
      </c>
      <c r="CI15" s="30">
        <f t="shared" si="6"/>
        <v>912500</v>
      </c>
      <c r="CJ15" s="30">
        <f t="shared" si="6"/>
        <v>925000</v>
      </c>
      <c r="CK15" s="30">
        <f t="shared" si="6"/>
        <v>937500</v>
      </c>
      <c r="CL15" s="30">
        <f t="shared" si="6"/>
        <v>950000</v>
      </c>
      <c r="CM15" s="30">
        <f t="shared" si="6"/>
        <v>962500</v>
      </c>
      <c r="CN15" s="30">
        <f t="shared" si="6"/>
        <v>975000</v>
      </c>
      <c r="CO15" s="30">
        <f t="shared" si="6"/>
        <v>987500</v>
      </c>
      <c r="CP15" s="30">
        <f t="shared" si="6"/>
        <v>1000000</v>
      </c>
      <c r="CQ15" s="30">
        <f t="shared" si="6"/>
        <v>1012500</v>
      </c>
      <c r="CR15" s="30">
        <f t="shared" si="6"/>
        <v>1025000</v>
      </c>
      <c r="CS15" s="30">
        <f t="shared" si="6"/>
        <v>1037500</v>
      </c>
      <c r="CT15" s="30">
        <f t="shared" si="6"/>
        <v>1050000</v>
      </c>
      <c r="CU15" s="30">
        <f t="shared" ref="CU15:DR15" si="7">SUM(CU8:CU13)</f>
        <v>1056250</v>
      </c>
      <c r="CV15" s="30">
        <f t="shared" si="7"/>
        <v>1062500</v>
      </c>
      <c r="CW15" s="30">
        <f t="shared" si="7"/>
        <v>1068750</v>
      </c>
      <c r="CX15" s="30">
        <f t="shared" si="7"/>
        <v>1075000</v>
      </c>
      <c r="CY15" s="30">
        <f t="shared" si="7"/>
        <v>1081250</v>
      </c>
      <c r="CZ15" s="30">
        <f t="shared" si="7"/>
        <v>1087500</v>
      </c>
      <c r="DA15" s="30">
        <f t="shared" si="7"/>
        <v>1093750</v>
      </c>
      <c r="DB15" s="30">
        <f t="shared" si="7"/>
        <v>1100000</v>
      </c>
      <c r="DC15" s="30">
        <f t="shared" si="7"/>
        <v>1106250</v>
      </c>
      <c r="DD15" s="30">
        <f t="shared" si="7"/>
        <v>1112500</v>
      </c>
      <c r="DE15" s="30">
        <f t="shared" si="7"/>
        <v>1118750</v>
      </c>
      <c r="DF15" s="30">
        <f t="shared" si="7"/>
        <v>1125000</v>
      </c>
      <c r="DG15" s="30">
        <f t="shared" si="7"/>
        <v>1125000</v>
      </c>
      <c r="DH15" s="30">
        <f t="shared" si="7"/>
        <v>1125000</v>
      </c>
      <c r="DI15" s="30">
        <f t="shared" si="7"/>
        <v>1125000</v>
      </c>
      <c r="DJ15" s="30">
        <f t="shared" si="7"/>
        <v>1125000</v>
      </c>
      <c r="DK15" s="30">
        <f t="shared" si="7"/>
        <v>1125000</v>
      </c>
      <c r="DL15" s="30">
        <f t="shared" si="7"/>
        <v>1125000</v>
      </c>
      <c r="DM15" s="30">
        <f t="shared" si="7"/>
        <v>1125000</v>
      </c>
      <c r="DN15" s="30">
        <f t="shared" si="7"/>
        <v>1125000</v>
      </c>
      <c r="DO15" s="30">
        <f t="shared" si="7"/>
        <v>1125000</v>
      </c>
      <c r="DP15" s="30">
        <f t="shared" si="7"/>
        <v>1125000</v>
      </c>
      <c r="DQ15" s="30">
        <f t="shared" si="7"/>
        <v>1125000</v>
      </c>
      <c r="DR15" s="30">
        <f t="shared" si="7"/>
        <v>1125000</v>
      </c>
    </row>
    <row r="16" spans="1:122" x14ac:dyDescent="0.2">
      <c r="A16" s="9" t="s">
        <v>88</v>
      </c>
      <c r="C16" s="28">
        <f t="shared" ref="C16:AH16" si="8">IF(C6=0,0,C15/C6)</f>
        <v>2.5000000000000001E-2</v>
      </c>
      <c r="D16" s="28">
        <f t="shared" si="8"/>
        <v>0.05</v>
      </c>
      <c r="E16" s="28">
        <f t="shared" si="8"/>
        <v>7.5000000000000011E-2</v>
      </c>
      <c r="F16" s="28">
        <f t="shared" si="8"/>
        <v>0.1</v>
      </c>
      <c r="G16" s="28">
        <f t="shared" si="8"/>
        <v>0.125</v>
      </c>
      <c r="H16" s="28">
        <f t="shared" si="8"/>
        <v>0.15000000000000002</v>
      </c>
      <c r="I16" s="28">
        <f t="shared" si="8"/>
        <v>0.17499999999999999</v>
      </c>
      <c r="J16" s="28">
        <f t="shared" si="8"/>
        <v>0.2</v>
      </c>
      <c r="K16" s="28">
        <f t="shared" si="8"/>
        <v>0.22499999999999995</v>
      </c>
      <c r="L16" s="28">
        <f t="shared" si="8"/>
        <v>0.25</v>
      </c>
      <c r="M16" s="28">
        <f t="shared" si="8"/>
        <v>0.27500000000000002</v>
      </c>
      <c r="N16" s="28">
        <f t="shared" si="8"/>
        <v>0.30000000000000004</v>
      </c>
      <c r="O16" s="28">
        <f t="shared" si="8"/>
        <v>0.32500000000000001</v>
      </c>
      <c r="P16" s="28">
        <f t="shared" si="8"/>
        <v>0.35</v>
      </c>
      <c r="Q16" s="28">
        <f t="shared" si="8"/>
        <v>0.375</v>
      </c>
      <c r="R16" s="28">
        <f t="shared" si="8"/>
        <v>0.4</v>
      </c>
      <c r="S16" s="28">
        <f t="shared" si="8"/>
        <v>0.4250000000000001</v>
      </c>
      <c r="T16" s="28">
        <f t="shared" si="8"/>
        <v>0.4499999999999999</v>
      </c>
      <c r="U16" s="28">
        <f t="shared" si="8"/>
        <v>0.47499999999999998</v>
      </c>
      <c r="V16" s="28">
        <f t="shared" si="8"/>
        <v>0.5</v>
      </c>
      <c r="W16" s="28">
        <f t="shared" si="8"/>
        <v>0.52500000000000002</v>
      </c>
      <c r="X16" s="28">
        <f t="shared" si="8"/>
        <v>0.55000000000000004</v>
      </c>
      <c r="Y16" s="28">
        <f t="shared" si="8"/>
        <v>0.57499999999999996</v>
      </c>
      <c r="Z16" s="28">
        <f t="shared" si="8"/>
        <v>0.60000000000000009</v>
      </c>
      <c r="AA16" s="28">
        <f t="shared" si="8"/>
        <v>0.32500000000000001</v>
      </c>
      <c r="AB16" s="28">
        <f t="shared" si="8"/>
        <v>0.35</v>
      </c>
      <c r="AC16" s="28">
        <f t="shared" si="8"/>
        <v>0.37500000000000006</v>
      </c>
      <c r="AD16" s="28">
        <f t="shared" si="8"/>
        <v>0.4</v>
      </c>
      <c r="AE16" s="28">
        <f t="shared" si="8"/>
        <v>0.42499999999999999</v>
      </c>
      <c r="AF16" s="28">
        <f t="shared" si="8"/>
        <v>0.45</v>
      </c>
      <c r="AG16" s="28">
        <f t="shared" si="8"/>
        <v>0.47499999999999998</v>
      </c>
      <c r="AH16" s="28">
        <f t="shared" si="8"/>
        <v>0.5</v>
      </c>
      <c r="AI16" s="28">
        <f t="shared" ref="AI16:BN16" si="9">IF(AI6=0,0,AI15/AI6)</f>
        <v>0.52500000000000002</v>
      </c>
      <c r="AJ16" s="28">
        <f t="shared" si="9"/>
        <v>0.55000000000000004</v>
      </c>
      <c r="AK16" s="28">
        <f t="shared" si="9"/>
        <v>0.57499999999999996</v>
      </c>
      <c r="AL16" s="28">
        <f t="shared" si="9"/>
        <v>0.59999999999999987</v>
      </c>
      <c r="AM16" s="28">
        <f t="shared" si="9"/>
        <v>0.43625000000000003</v>
      </c>
      <c r="AN16" s="28">
        <f t="shared" si="9"/>
        <v>0.45250000000000001</v>
      </c>
      <c r="AO16" s="28">
        <f t="shared" si="9"/>
        <v>0.46875</v>
      </c>
      <c r="AP16" s="28">
        <f t="shared" si="9"/>
        <v>0.48499999999999999</v>
      </c>
      <c r="AQ16" s="28">
        <f t="shared" si="9"/>
        <v>0.50124999999999997</v>
      </c>
      <c r="AR16" s="28">
        <f t="shared" si="9"/>
        <v>0.51749999999999996</v>
      </c>
      <c r="AS16" s="28">
        <f t="shared" si="9"/>
        <v>0.53374999999999995</v>
      </c>
      <c r="AT16" s="28">
        <f t="shared" si="9"/>
        <v>0.55000000000000004</v>
      </c>
      <c r="AU16" s="28">
        <f t="shared" si="9"/>
        <v>0.56625000000000003</v>
      </c>
      <c r="AV16" s="28">
        <f t="shared" si="9"/>
        <v>0.58250000000000002</v>
      </c>
      <c r="AW16" s="28">
        <f t="shared" si="9"/>
        <v>0.59875</v>
      </c>
      <c r="AX16" s="28">
        <f t="shared" si="9"/>
        <v>0.61499999999999999</v>
      </c>
      <c r="AY16" s="28">
        <f t="shared" si="9"/>
        <v>0.42916666666666664</v>
      </c>
      <c r="AZ16" s="28">
        <f t="shared" si="9"/>
        <v>0.44833333333333331</v>
      </c>
      <c r="BA16" s="28">
        <f t="shared" si="9"/>
        <v>0.46750000000000003</v>
      </c>
      <c r="BB16" s="28">
        <f t="shared" si="9"/>
        <v>0.48666666666666669</v>
      </c>
      <c r="BC16" s="28">
        <f t="shared" si="9"/>
        <v>0.50583333333333336</v>
      </c>
      <c r="BD16" s="28">
        <f t="shared" si="9"/>
        <v>0.52500000000000002</v>
      </c>
      <c r="BE16" s="28">
        <f t="shared" si="9"/>
        <v>0.54416666666666669</v>
      </c>
      <c r="BF16" s="28">
        <f t="shared" si="9"/>
        <v>0.56333333333333335</v>
      </c>
      <c r="BG16" s="28">
        <f t="shared" si="9"/>
        <v>0.58250000000000002</v>
      </c>
      <c r="BH16" s="28">
        <f t="shared" si="9"/>
        <v>0.60166666666666668</v>
      </c>
      <c r="BI16" s="28">
        <f t="shared" si="9"/>
        <v>0.62083333333333335</v>
      </c>
      <c r="BJ16" s="28">
        <f t="shared" si="9"/>
        <v>0.64</v>
      </c>
      <c r="BK16" s="28">
        <f t="shared" si="9"/>
        <v>0.49625000000000002</v>
      </c>
      <c r="BL16" s="28">
        <f t="shared" si="9"/>
        <v>0.51249999999999996</v>
      </c>
      <c r="BM16" s="28">
        <f t="shared" si="9"/>
        <v>0.52875000000000005</v>
      </c>
      <c r="BN16" s="28">
        <f t="shared" si="9"/>
        <v>0.54500000000000004</v>
      </c>
      <c r="BO16" s="28">
        <f t="shared" ref="BO16:CT16" si="10">IF(BO6=0,0,BO15/BO6)</f>
        <v>0.56125000000000003</v>
      </c>
      <c r="BP16" s="28">
        <f t="shared" si="10"/>
        <v>0.57750000000000001</v>
      </c>
      <c r="BQ16" s="28">
        <f t="shared" si="10"/>
        <v>0.59375</v>
      </c>
      <c r="BR16" s="28">
        <f t="shared" si="10"/>
        <v>0.61</v>
      </c>
      <c r="BS16" s="28">
        <f t="shared" si="10"/>
        <v>0.62624999999999997</v>
      </c>
      <c r="BT16" s="28">
        <f t="shared" si="10"/>
        <v>0.64249999999999996</v>
      </c>
      <c r="BU16" s="28">
        <f t="shared" si="10"/>
        <v>0.65874999999999995</v>
      </c>
      <c r="BV16" s="28">
        <f t="shared" si="10"/>
        <v>0.67500000000000004</v>
      </c>
      <c r="BW16" s="28">
        <f t="shared" si="10"/>
        <v>0.55500000000000005</v>
      </c>
      <c r="BX16" s="28">
        <f t="shared" si="10"/>
        <v>0.56999999999999995</v>
      </c>
      <c r="BY16" s="28">
        <f t="shared" si="10"/>
        <v>0.58499999999999996</v>
      </c>
      <c r="BZ16" s="28">
        <f t="shared" si="10"/>
        <v>0.6</v>
      </c>
      <c r="CA16" s="28">
        <f t="shared" si="10"/>
        <v>0.61499999999999999</v>
      </c>
      <c r="CB16" s="28">
        <f t="shared" si="10"/>
        <v>0.63</v>
      </c>
      <c r="CC16" s="28">
        <f t="shared" si="10"/>
        <v>0.64500000000000002</v>
      </c>
      <c r="CD16" s="28">
        <f t="shared" si="10"/>
        <v>0.66</v>
      </c>
      <c r="CE16" s="28">
        <f t="shared" si="10"/>
        <v>0.67500000000000004</v>
      </c>
      <c r="CF16" s="28">
        <f t="shared" si="10"/>
        <v>0.69</v>
      </c>
      <c r="CG16" s="28">
        <f t="shared" si="10"/>
        <v>0.70499999999999996</v>
      </c>
      <c r="CH16" s="28">
        <f t="shared" si="10"/>
        <v>0.72</v>
      </c>
      <c r="CI16" s="28">
        <f t="shared" si="10"/>
        <v>0.73</v>
      </c>
      <c r="CJ16" s="28">
        <f t="shared" si="10"/>
        <v>0.74</v>
      </c>
      <c r="CK16" s="28">
        <f t="shared" si="10"/>
        <v>0.75</v>
      </c>
      <c r="CL16" s="28">
        <f t="shared" si="10"/>
        <v>0.76</v>
      </c>
      <c r="CM16" s="28">
        <f t="shared" si="10"/>
        <v>0.77</v>
      </c>
      <c r="CN16" s="28">
        <f t="shared" si="10"/>
        <v>0.78</v>
      </c>
      <c r="CO16" s="28">
        <f t="shared" si="10"/>
        <v>0.79</v>
      </c>
      <c r="CP16" s="28">
        <f t="shared" si="10"/>
        <v>0.8</v>
      </c>
      <c r="CQ16" s="28">
        <f t="shared" si="10"/>
        <v>0.81</v>
      </c>
      <c r="CR16" s="28">
        <f t="shared" si="10"/>
        <v>0.82</v>
      </c>
      <c r="CS16" s="28">
        <f t="shared" si="10"/>
        <v>0.83</v>
      </c>
      <c r="CT16" s="28">
        <f t="shared" si="10"/>
        <v>0.84</v>
      </c>
      <c r="CU16" s="28">
        <f t="shared" ref="CU16:DZ16" si="11">IF(CU6=0,0,CU15/CU6)</f>
        <v>0.84499999999999997</v>
      </c>
      <c r="CV16" s="28">
        <f t="shared" si="11"/>
        <v>0.85</v>
      </c>
      <c r="CW16" s="28">
        <f t="shared" si="11"/>
        <v>0.85499999999999998</v>
      </c>
      <c r="CX16" s="28">
        <f t="shared" si="11"/>
        <v>0.86</v>
      </c>
      <c r="CY16" s="28">
        <f t="shared" si="11"/>
        <v>0.86499999999999999</v>
      </c>
      <c r="CZ16" s="28">
        <f t="shared" si="11"/>
        <v>0.87</v>
      </c>
      <c r="DA16" s="28">
        <f t="shared" si="11"/>
        <v>0.875</v>
      </c>
      <c r="DB16" s="28">
        <f t="shared" si="11"/>
        <v>0.88</v>
      </c>
      <c r="DC16" s="28">
        <f t="shared" si="11"/>
        <v>0.88500000000000001</v>
      </c>
      <c r="DD16" s="28">
        <f t="shared" si="11"/>
        <v>0.89</v>
      </c>
      <c r="DE16" s="28">
        <f t="shared" si="11"/>
        <v>0.89500000000000002</v>
      </c>
      <c r="DF16" s="28">
        <f t="shared" si="11"/>
        <v>0.9</v>
      </c>
      <c r="DG16" s="28">
        <f t="shared" si="11"/>
        <v>0.9</v>
      </c>
      <c r="DH16" s="28">
        <f t="shared" si="11"/>
        <v>0.9</v>
      </c>
      <c r="DI16" s="28">
        <f t="shared" si="11"/>
        <v>0.9</v>
      </c>
      <c r="DJ16" s="28">
        <f t="shared" si="11"/>
        <v>0.9</v>
      </c>
      <c r="DK16" s="28">
        <f t="shared" si="11"/>
        <v>0.9</v>
      </c>
      <c r="DL16" s="28">
        <f t="shared" si="11"/>
        <v>0.9</v>
      </c>
      <c r="DM16" s="28">
        <f t="shared" si="11"/>
        <v>0.9</v>
      </c>
      <c r="DN16" s="28">
        <f t="shared" si="11"/>
        <v>0.9</v>
      </c>
      <c r="DO16" s="28">
        <f t="shared" si="11"/>
        <v>0.9</v>
      </c>
      <c r="DP16" s="28">
        <f t="shared" si="11"/>
        <v>0.9</v>
      </c>
      <c r="DQ16" s="28">
        <f t="shared" si="11"/>
        <v>0.9</v>
      </c>
      <c r="DR16" s="28">
        <f t="shared" si="11"/>
        <v>0.9</v>
      </c>
    </row>
    <row r="18" spans="1:122" x14ac:dyDescent="0.2">
      <c r="A18" s="9" t="s">
        <v>89</v>
      </c>
      <c r="C18" s="26">
        <f>C8*(C$5*(1-Assumptions!$B$27*Assumptions!$B$28)+IF(C$3&gt;=3,Assumptions!$B$29/12,0))</f>
        <v>3680.9244791666665</v>
      </c>
      <c r="D18" s="26">
        <f>D8*(D$5*(1-Assumptions!$B$27*Assumptions!$B$28)+IF(D$3&gt;=3,Assumptions!$B$29/12,0))</f>
        <v>7361.848958333333</v>
      </c>
      <c r="E18" s="26">
        <f>E8*(E$5*(1-Assumptions!$B$27*Assumptions!$B$28)+IF(E$3&gt;=3,Assumptions!$B$29/12,0))</f>
        <v>11042.773437500002</v>
      </c>
      <c r="F18" s="26">
        <f>F8*(F$5*(1-Assumptions!$B$27*Assumptions!$B$28)+IF(F$3&gt;=3,Assumptions!$B$29/12,0))</f>
        <v>14723.697916666666</v>
      </c>
      <c r="G18" s="26">
        <f>G8*(G$5*(1-Assumptions!$B$27*Assumptions!$B$28)+IF(G$3&gt;=3,Assumptions!$B$29/12,0))</f>
        <v>18404.622395833332</v>
      </c>
      <c r="H18" s="26">
        <f>H8*(H$5*(1-Assumptions!$B$27*Assumptions!$B$28)+IF(H$3&gt;=3,Assumptions!$B$29/12,0))</f>
        <v>22085.546875000004</v>
      </c>
      <c r="I18" s="26">
        <f>I8*(I$5*(1-Assumptions!$B$27*Assumptions!$B$28)+IF(I$3&gt;=3,Assumptions!$B$29/12,0))</f>
        <v>25766.471354166661</v>
      </c>
      <c r="J18" s="26">
        <f>J8*(J$5*(1-Assumptions!$B$27*Assumptions!$B$28)+IF(J$3&gt;=3,Assumptions!$B$29/12,0))</f>
        <v>29447.395833333332</v>
      </c>
      <c r="K18" s="26">
        <f>K8*(K$5*(1-Assumptions!$B$27*Assumptions!$B$28)+IF(K$3&gt;=3,Assumptions!$B$29/12,0))</f>
        <v>33128.320312499993</v>
      </c>
      <c r="L18" s="26">
        <f>L8*(L$5*(1-Assumptions!$B$27*Assumptions!$B$28)+IF(L$3&gt;=3,Assumptions!$B$29/12,0))</f>
        <v>36809.244791666664</v>
      </c>
      <c r="M18" s="26">
        <f>M8*(M$5*(1-Assumptions!$B$27*Assumptions!$B$28)+IF(M$3&gt;=3,Assumptions!$B$29/12,0))</f>
        <v>40490.169270833336</v>
      </c>
      <c r="N18" s="26">
        <f>N8*(N$5*(1-Assumptions!$B$27*Assumptions!$B$28)+IF(N$3&gt;=3,Assumptions!$B$29/12,0))</f>
        <v>44171.093750000007</v>
      </c>
      <c r="O18" s="26">
        <f>O8*(O$5*(1-Assumptions!$B$27*Assumptions!$B$28)+IF(O$3&gt;=3,Assumptions!$B$29/12,0))</f>
        <v>49287.578776041672</v>
      </c>
      <c r="P18" s="26">
        <f>P8*(P$5*(1-Assumptions!$B$27*Assumptions!$B$28)+IF(P$3&gt;=3,Assumptions!$B$29/12,0))</f>
        <v>53078.930989583336</v>
      </c>
      <c r="Q18" s="26">
        <f>Q8*(Q$5*(1-Assumptions!$B$27*Assumptions!$B$28)+IF(Q$3&gt;=3,Assumptions!$B$29/12,0))</f>
        <v>56870.283203125007</v>
      </c>
      <c r="R18" s="26">
        <f>R8*(R$5*(1-Assumptions!$B$27*Assumptions!$B$28)+IF(R$3&gt;=3,Assumptions!$B$29/12,0))</f>
        <v>60661.635416666672</v>
      </c>
      <c r="S18" s="26">
        <f>S8*(S$5*(1-Assumptions!$B$27*Assumptions!$B$28)+IF(S$3&gt;=3,Assumptions!$B$29/12,0))</f>
        <v>64452.98763020835</v>
      </c>
      <c r="T18" s="26">
        <f>T8*(T$5*(1-Assumptions!$B$27*Assumptions!$B$28)+IF(T$3&gt;=3,Assumptions!$B$29/12,0))</f>
        <v>68244.33984375</v>
      </c>
      <c r="U18" s="26">
        <f>U8*(U$5*(1-Assumptions!$B$27*Assumptions!$B$28)+IF(U$3&gt;=3,Assumptions!$B$29/12,0))</f>
        <v>72035.692057291672</v>
      </c>
      <c r="V18" s="26">
        <f>V8*(V$5*(1-Assumptions!$B$27*Assumptions!$B$28)+IF(V$3&gt;=3,Assumptions!$B$29/12,0))</f>
        <v>75827.044270833343</v>
      </c>
      <c r="W18" s="26">
        <f>W8*(W$5*(1-Assumptions!$B$27*Assumptions!$B$28)+IF(W$3&gt;=3,Assumptions!$B$29/12,0))</f>
        <v>79618.396484375015</v>
      </c>
      <c r="X18" s="26">
        <f>X8*(X$5*(1-Assumptions!$B$27*Assumptions!$B$28)+IF(X$3&gt;=3,Assumptions!$B$29/12,0))</f>
        <v>83409.748697916686</v>
      </c>
      <c r="Y18" s="26">
        <f>Y8*(Y$5*(1-Assumptions!$B$27*Assumptions!$B$28)+IF(Y$3&gt;=3,Assumptions!$B$29/12,0))</f>
        <v>87201.100911458328</v>
      </c>
      <c r="Z18" s="26">
        <f>Z8*(Z$5*(1-Assumptions!$B$27*Assumptions!$B$28)+IF(Z$3&gt;=3,Assumptions!$B$29/12,0))</f>
        <v>90992.453125000015</v>
      </c>
      <c r="AA18" s="26">
        <f>AA8*(AA$5*(1-Assumptions!$B$27*Assumptions!$B$28)+IF(AA$3&gt;=3,Assumptions!$B$29/12,0))</f>
        <v>98994.506998697907</v>
      </c>
      <c r="AB18" s="26">
        <f>AB8*(AB$5*(1-Assumptions!$B$27*Assumptions!$B$28)+IF(AB$3&gt;=3,Assumptions!$B$29/12,0))</f>
        <v>102954.28727864583</v>
      </c>
      <c r="AC18" s="26">
        <f>AC8*(AC$5*(1-Assumptions!$B$27*Assumptions!$B$28)+IF(AC$3&gt;=3,Assumptions!$B$29/12,0))</f>
        <v>106914.06755859376</v>
      </c>
      <c r="AD18" s="26">
        <f>AD8*(AD$5*(1-Assumptions!$B$27*Assumptions!$B$28)+IF(AD$3&gt;=3,Assumptions!$B$29/12,0))</f>
        <v>110873.84783854165</v>
      </c>
      <c r="AE18" s="26">
        <f>AE8*(AE$5*(1-Assumptions!$B$27*Assumptions!$B$28)+IF(AE$3&gt;=3,Assumptions!$B$29/12,0))</f>
        <v>114833.62811848959</v>
      </c>
      <c r="AF18" s="26">
        <f>AF8*(AF$5*(1-Assumptions!$B$27*Assumptions!$B$28)+IF(AF$3&gt;=3,Assumptions!$B$29/12,0))</f>
        <v>118793.40839843749</v>
      </c>
      <c r="AG18" s="26">
        <f>AG8*(AG$5*(1-Assumptions!$B$27*Assumptions!$B$28)+IF(AG$3&gt;=3,Assumptions!$B$29/12,0))</f>
        <v>122753.18867838541</v>
      </c>
      <c r="AH18" s="26">
        <f>AH8*(AH$5*(1-Assumptions!$B$27*Assumptions!$B$28)+IF(AH$3&gt;=3,Assumptions!$B$29/12,0))</f>
        <v>126712.96895833332</v>
      </c>
      <c r="AI18" s="26">
        <f>AI8*(AI$5*(1-Assumptions!$B$27*Assumptions!$B$28)+IF(AI$3&gt;=3,Assumptions!$B$29/12,0))</f>
        <v>130672.74923828125</v>
      </c>
      <c r="AJ18" s="26">
        <f>AJ8*(AJ$5*(1-Assumptions!$B$27*Assumptions!$B$28)+IF(AJ$3&gt;=3,Assumptions!$B$29/12,0))</f>
        <v>134632.52951822919</v>
      </c>
      <c r="AK18" s="26">
        <f>AK8*(AK$5*(1-Assumptions!$B$27*Assumptions!$B$28)+IF(AK$3&gt;=3,Assumptions!$B$29/12,0))</f>
        <v>138592.30979817707</v>
      </c>
      <c r="AL18" s="26">
        <f>AL8*(AL$5*(1-Assumptions!$B$27*Assumptions!$B$28)+IF(AL$3&gt;=3,Assumptions!$B$29/12,0))</f>
        <v>142552.09007812498</v>
      </c>
      <c r="AM18" s="26">
        <f>AM8*(AM$5*(1-Assumptions!$B$27*Assumptions!$B$28)+IF(AM$3&gt;=3,Assumptions!$B$29/12,0))</f>
        <v>146769.59028046872</v>
      </c>
      <c r="AN18" s="26">
        <f>AN8*(AN$5*(1-Assumptions!$B$27*Assumptions!$B$28)+IF(AN$3&gt;=3,Assumptions!$B$29/12,0))</f>
        <v>146769.59028046872</v>
      </c>
      <c r="AO18" s="26">
        <f>AO8*(AO$5*(1-Assumptions!$B$27*Assumptions!$B$28)+IF(AO$3&gt;=3,Assumptions!$B$29/12,0))</f>
        <v>146769.59028046872</v>
      </c>
      <c r="AP18" s="26">
        <f>AP8*(AP$5*(1-Assumptions!$B$27*Assumptions!$B$28)+IF(AP$3&gt;=3,Assumptions!$B$29/12,0))</f>
        <v>146769.59028046872</v>
      </c>
      <c r="AQ18" s="26">
        <f>AQ8*(AQ$5*(1-Assumptions!$B$27*Assumptions!$B$28)+IF(AQ$3&gt;=3,Assumptions!$B$29/12,0))</f>
        <v>146769.59028046872</v>
      </c>
      <c r="AR18" s="26">
        <f>AR8*(AR$5*(1-Assumptions!$B$27*Assumptions!$B$28)+IF(AR$3&gt;=3,Assumptions!$B$29/12,0))</f>
        <v>146769.59028046872</v>
      </c>
      <c r="AS18" s="26">
        <f>AS8*(AS$5*(1-Assumptions!$B$27*Assumptions!$B$28)+IF(AS$3&gt;=3,Assumptions!$B$29/12,0))</f>
        <v>146769.59028046872</v>
      </c>
      <c r="AT18" s="26">
        <f>AT8*(AT$5*(1-Assumptions!$B$27*Assumptions!$B$28)+IF(AT$3&gt;=3,Assumptions!$B$29/12,0))</f>
        <v>146769.59028046872</v>
      </c>
      <c r="AU18" s="26">
        <f>AU8*(AU$5*(1-Assumptions!$B$27*Assumptions!$B$28)+IF(AU$3&gt;=3,Assumptions!$B$29/12,0))</f>
        <v>146769.59028046872</v>
      </c>
      <c r="AV18" s="26">
        <f>AV8*(AV$5*(1-Assumptions!$B$27*Assumptions!$B$28)+IF(AV$3&gt;=3,Assumptions!$B$29/12,0))</f>
        <v>146769.59028046872</v>
      </c>
      <c r="AW18" s="26">
        <f>AW8*(AW$5*(1-Assumptions!$B$27*Assumptions!$B$28)+IF(AW$3&gt;=3,Assumptions!$B$29/12,0))</f>
        <v>146769.59028046872</v>
      </c>
      <c r="AX18" s="26">
        <f>AX8*(AX$5*(1-Assumptions!$B$27*Assumptions!$B$28)+IF(AX$3&gt;=3,Assumptions!$B$29/12,0))</f>
        <v>146769.59028046872</v>
      </c>
      <c r="AY18" s="26">
        <f>AY8*(AY$5*(1-Assumptions!$B$27*Assumptions!$B$28)+IF(AY$3&gt;=3,Assumptions!$B$29/12,0))</f>
        <v>151113.61548888282</v>
      </c>
      <c r="AZ18" s="26">
        <f>AZ8*(AZ$5*(1-Assumptions!$B$27*Assumptions!$B$28)+IF(AZ$3&gt;=3,Assumptions!$B$29/12,0))</f>
        <v>151113.61548888282</v>
      </c>
      <c r="BA18" s="26">
        <f>BA8*(BA$5*(1-Assumptions!$B$27*Assumptions!$B$28)+IF(BA$3&gt;=3,Assumptions!$B$29/12,0))</f>
        <v>151113.61548888282</v>
      </c>
      <c r="BB18" s="26">
        <f>BB8*(BB$5*(1-Assumptions!$B$27*Assumptions!$B$28)+IF(BB$3&gt;=3,Assumptions!$B$29/12,0))</f>
        <v>151113.61548888282</v>
      </c>
      <c r="BC18" s="26">
        <f>BC8*(BC$5*(1-Assumptions!$B$27*Assumptions!$B$28)+IF(BC$3&gt;=3,Assumptions!$B$29/12,0))</f>
        <v>151113.61548888282</v>
      </c>
      <c r="BD18" s="26">
        <f>BD8*(BD$5*(1-Assumptions!$B$27*Assumptions!$B$28)+IF(BD$3&gt;=3,Assumptions!$B$29/12,0))</f>
        <v>151113.61548888282</v>
      </c>
      <c r="BE18" s="26">
        <f>BE8*(BE$5*(1-Assumptions!$B$27*Assumptions!$B$28)+IF(BE$3&gt;=3,Assumptions!$B$29/12,0))</f>
        <v>151113.61548888282</v>
      </c>
      <c r="BF18" s="26">
        <f>BF8*(BF$5*(1-Assumptions!$B$27*Assumptions!$B$28)+IF(BF$3&gt;=3,Assumptions!$B$29/12,0))</f>
        <v>151113.61548888282</v>
      </c>
      <c r="BG18" s="26">
        <f>BG8*(BG$5*(1-Assumptions!$B$27*Assumptions!$B$28)+IF(BG$3&gt;=3,Assumptions!$B$29/12,0))</f>
        <v>151113.61548888282</v>
      </c>
      <c r="BH18" s="26">
        <f>BH8*(BH$5*(1-Assumptions!$B$27*Assumptions!$B$28)+IF(BH$3&gt;=3,Assumptions!$B$29/12,0))</f>
        <v>151113.61548888282</v>
      </c>
      <c r="BI18" s="26">
        <f>BI8*(BI$5*(1-Assumptions!$B$27*Assumptions!$B$28)+IF(BI$3&gt;=3,Assumptions!$B$29/12,0))</f>
        <v>151113.61548888282</v>
      </c>
      <c r="BJ18" s="26">
        <f>BJ8*(BJ$5*(1-Assumptions!$B$27*Assumptions!$B$28)+IF(BJ$3&gt;=3,Assumptions!$B$29/12,0))</f>
        <v>151113.61548888282</v>
      </c>
      <c r="BK18" s="26">
        <f>BK8*(BK$5*(1-Assumptions!$B$27*Assumptions!$B$28)+IF(BK$3&gt;=3,Assumptions!$B$29/12,0))</f>
        <v>155587.96145354924</v>
      </c>
      <c r="BL18" s="26">
        <f>BL8*(BL$5*(1-Assumptions!$B$27*Assumptions!$B$28)+IF(BL$3&gt;=3,Assumptions!$B$29/12,0))</f>
        <v>155587.96145354924</v>
      </c>
      <c r="BM18" s="26">
        <f>BM8*(BM$5*(1-Assumptions!$B$27*Assumptions!$B$28)+IF(BM$3&gt;=3,Assumptions!$B$29/12,0))</f>
        <v>155587.96145354924</v>
      </c>
      <c r="BN18" s="26">
        <f>BN8*(BN$5*(1-Assumptions!$B$27*Assumptions!$B$28)+IF(BN$3&gt;=3,Assumptions!$B$29/12,0))</f>
        <v>155587.96145354924</v>
      </c>
      <c r="BO18" s="26">
        <f>BO8*(BO$5*(1-Assumptions!$B$27*Assumptions!$B$28)+IF(BO$3&gt;=3,Assumptions!$B$29/12,0))</f>
        <v>155587.96145354924</v>
      </c>
      <c r="BP18" s="26">
        <f>BP8*(BP$5*(1-Assumptions!$B$27*Assumptions!$B$28)+IF(BP$3&gt;=3,Assumptions!$B$29/12,0))</f>
        <v>155587.96145354924</v>
      </c>
      <c r="BQ18" s="26">
        <f>BQ8*(BQ$5*(1-Assumptions!$B$27*Assumptions!$B$28)+IF(BQ$3&gt;=3,Assumptions!$B$29/12,0))</f>
        <v>155587.96145354924</v>
      </c>
      <c r="BR18" s="26">
        <f>BR8*(BR$5*(1-Assumptions!$B$27*Assumptions!$B$28)+IF(BR$3&gt;=3,Assumptions!$B$29/12,0))</f>
        <v>155587.96145354924</v>
      </c>
      <c r="BS18" s="26">
        <f>BS8*(BS$5*(1-Assumptions!$B$27*Assumptions!$B$28)+IF(BS$3&gt;=3,Assumptions!$B$29/12,0))</f>
        <v>155587.96145354924</v>
      </c>
      <c r="BT18" s="26">
        <f>BT8*(BT$5*(1-Assumptions!$B$27*Assumptions!$B$28)+IF(BT$3&gt;=3,Assumptions!$B$29/12,0))</f>
        <v>155587.96145354924</v>
      </c>
      <c r="BU18" s="26">
        <f>BU8*(BU$5*(1-Assumptions!$B$27*Assumptions!$B$28)+IF(BU$3&gt;=3,Assumptions!$B$29/12,0))</f>
        <v>155587.96145354924</v>
      </c>
      <c r="BV18" s="26">
        <f>BV8*(BV$5*(1-Assumptions!$B$27*Assumptions!$B$28)+IF(BV$3&gt;=3,Assumptions!$B$29/12,0))</f>
        <v>155587.96145354924</v>
      </c>
      <c r="BW18" s="26">
        <f>BW8*(BW$5*(1-Assumptions!$B$27*Assumptions!$B$28)+IF(BW$3&gt;=3,Assumptions!$B$29/12,0))</f>
        <v>160196.53779715576</v>
      </c>
      <c r="BX18" s="26">
        <f>BX8*(BX$5*(1-Assumptions!$B$27*Assumptions!$B$28)+IF(BX$3&gt;=3,Assumptions!$B$29/12,0))</f>
        <v>160196.53779715576</v>
      </c>
      <c r="BY18" s="26">
        <f>BY8*(BY$5*(1-Assumptions!$B$27*Assumptions!$B$28)+IF(BY$3&gt;=3,Assumptions!$B$29/12,0))</f>
        <v>160196.53779715576</v>
      </c>
      <c r="BZ18" s="26">
        <f>BZ8*(BZ$5*(1-Assumptions!$B$27*Assumptions!$B$28)+IF(BZ$3&gt;=3,Assumptions!$B$29/12,0))</f>
        <v>160196.53779715576</v>
      </c>
      <c r="CA18" s="26">
        <f>CA8*(CA$5*(1-Assumptions!$B$27*Assumptions!$B$28)+IF(CA$3&gt;=3,Assumptions!$B$29/12,0))</f>
        <v>160196.53779715576</v>
      </c>
      <c r="CB18" s="26">
        <f>CB8*(CB$5*(1-Assumptions!$B$27*Assumptions!$B$28)+IF(CB$3&gt;=3,Assumptions!$B$29/12,0))</f>
        <v>160196.53779715576</v>
      </c>
      <c r="CC18" s="26">
        <f>CC8*(CC$5*(1-Assumptions!$B$27*Assumptions!$B$28)+IF(CC$3&gt;=3,Assumptions!$B$29/12,0))</f>
        <v>160196.53779715576</v>
      </c>
      <c r="CD18" s="26">
        <f>CD8*(CD$5*(1-Assumptions!$B$27*Assumptions!$B$28)+IF(CD$3&gt;=3,Assumptions!$B$29/12,0))</f>
        <v>160196.53779715576</v>
      </c>
      <c r="CE18" s="26">
        <f>CE8*(CE$5*(1-Assumptions!$B$27*Assumptions!$B$28)+IF(CE$3&gt;=3,Assumptions!$B$29/12,0))</f>
        <v>160196.53779715576</v>
      </c>
      <c r="CF18" s="26">
        <f>CF8*(CF$5*(1-Assumptions!$B$27*Assumptions!$B$28)+IF(CF$3&gt;=3,Assumptions!$B$29/12,0))</f>
        <v>160196.53779715576</v>
      </c>
      <c r="CG18" s="26">
        <f>CG8*(CG$5*(1-Assumptions!$B$27*Assumptions!$B$28)+IF(CG$3&gt;=3,Assumptions!$B$29/12,0))</f>
        <v>160196.53779715576</v>
      </c>
      <c r="CH18" s="26">
        <f>CH8*(CH$5*(1-Assumptions!$B$27*Assumptions!$B$28)+IF(CH$3&gt;=3,Assumptions!$B$29/12,0))</f>
        <v>160196.53779715576</v>
      </c>
      <c r="CI18" s="26">
        <f>CI8*(CI$5*(1-Assumptions!$B$27*Assumptions!$B$28)+IF(CI$3&gt;=3,Assumptions!$B$29/12,0))</f>
        <v>164943.37143107044</v>
      </c>
      <c r="CJ18" s="26">
        <f>CJ8*(CJ$5*(1-Assumptions!$B$27*Assumptions!$B$28)+IF(CJ$3&gt;=3,Assumptions!$B$29/12,0))</f>
        <v>164943.37143107044</v>
      </c>
      <c r="CK18" s="26">
        <f>CK8*(CK$5*(1-Assumptions!$B$27*Assumptions!$B$28)+IF(CK$3&gt;=3,Assumptions!$B$29/12,0))</f>
        <v>164943.37143107044</v>
      </c>
      <c r="CL18" s="26">
        <f>CL8*(CL$5*(1-Assumptions!$B$27*Assumptions!$B$28)+IF(CL$3&gt;=3,Assumptions!$B$29/12,0))</f>
        <v>164943.37143107044</v>
      </c>
      <c r="CM18" s="26">
        <f>CM8*(CM$5*(1-Assumptions!$B$27*Assumptions!$B$28)+IF(CM$3&gt;=3,Assumptions!$B$29/12,0))</f>
        <v>164943.37143107044</v>
      </c>
      <c r="CN18" s="26">
        <f>CN8*(CN$5*(1-Assumptions!$B$27*Assumptions!$B$28)+IF(CN$3&gt;=3,Assumptions!$B$29/12,0))</f>
        <v>164943.37143107044</v>
      </c>
      <c r="CO18" s="26">
        <f>CO8*(CO$5*(1-Assumptions!$B$27*Assumptions!$B$28)+IF(CO$3&gt;=3,Assumptions!$B$29/12,0))</f>
        <v>164943.37143107044</v>
      </c>
      <c r="CP18" s="26">
        <f>CP8*(CP$5*(1-Assumptions!$B$27*Assumptions!$B$28)+IF(CP$3&gt;=3,Assumptions!$B$29/12,0))</f>
        <v>164943.37143107044</v>
      </c>
      <c r="CQ18" s="26">
        <f>CQ8*(CQ$5*(1-Assumptions!$B$27*Assumptions!$B$28)+IF(CQ$3&gt;=3,Assumptions!$B$29/12,0))</f>
        <v>164943.37143107044</v>
      </c>
      <c r="CR18" s="26">
        <f>CR8*(CR$5*(1-Assumptions!$B$27*Assumptions!$B$28)+IF(CR$3&gt;=3,Assumptions!$B$29/12,0))</f>
        <v>164943.37143107044</v>
      </c>
      <c r="CS18" s="26">
        <f>CS8*(CS$5*(1-Assumptions!$B$27*Assumptions!$B$28)+IF(CS$3&gt;=3,Assumptions!$B$29/12,0))</f>
        <v>164943.37143107044</v>
      </c>
      <c r="CT18" s="26">
        <f>CT8*(CT$5*(1-Assumptions!$B$27*Assumptions!$B$28)+IF(CT$3&gt;=3,Assumptions!$B$29/12,0))</f>
        <v>164943.37143107044</v>
      </c>
      <c r="CU18" s="26">
        <f>CU8*(CU$5*(1-Assumptions!$B$27*Assumptions!$B$28)+IF(CU$3&gt;=3,Assumptions!$B$29/12,0))</f>
        <v>169832.61007400256</v>
      </c>
      <c r="CV18" s="26">
        <f>CV8*(CV$5*(1-Assumptions!$B$27*Assumptions!$B$28)+IF(CV$3&gt;=3,Assumptions!$B$29/12,0))</f>
        <v>169832.61007400256</v>
      </c>
      <c r="CW18" s="26">
        <f>CW8*(CW$5*(1-Assumptions!$B$27*Assumptions!$B$28)+IF(CW$3&gt;=3,Assumptions!$B$29/12,0))</f>
        <v>169832.61007400256</v>
      </c>
      <c r="CX18" s="26">
        <f>CX8*(CX$5*(1-Assumptions!$B$27*Assumptions!$B$28)+IF(CX$3&gt;=3,Assumptions!$B$29/12,0))</f>
        <v>169832.61007400256</v>
      </c>
      <c r="CY18" s="26">
        <f>CY8*(CY$5*(1-Assumptions!$B$27*Assumptions!$B$28)+IF(CY$3&gt;=3,Assumptions!$B$29/12,0))</f>
        <v>169832.61007400256</v>
      </c>
      <c r="CZ18" s="26">
        <f>CZ8*(CZ$5*(1-Assumptions!$B$27*Assumptions!$B$28)+IF(CZ$3&gt;=3,Assumptions!$B$29/12,0))</f>
        <v>169832.61007400256</v>
      </c>
      <c r="DA18" s="26">
        <f>DA8*(DA$5*(1-Assumptions!$B$27*Assumptions!$B$28)+IF(DA$3&gt;=3,Assumptions!$B$29/12,0))</f>
        <v>169832.61007400256</v>
      </c>
      <c r="DB18" s="26">
        <f>DB8*(DB$5*(1-Assumptions!$B$27*Assumptions!$B$28)+IF(DB$3&gt;=3,Assumptions!$B$29/12,0))</f>
        <v>169832.61007400256</v>
      </c>
      <c r="DC18" s="26">
        <f>DC8*(DC$5*(1-Assumptions!$B$27*Assumptions!$B$28)+IF(DC$3&gt;=3,Assumptions!$B$29/12,0))</f>
        <v>169832.61007400256</v>
      </c>
      <c r="DD18" s="26">
        <f>DD8*(DD$5*(1-Assumptions!$B$27*Assumptions!$B$28)+IF(DD$3&gt;=3,Assumptions!$B$29/12,0))</f>
        <v>169832.61007400256</v>
      </c>
      <c r="DE18" s="26">
        <f>DE8*(DE$5*(1-Assumptions!$B$27*Assumptions!$B$28)+IF(DE$3&gt;=3,Assumptions!$B$29/12,0))</f>
        <v>169832.61007400256</v>
      </c>
      <c r="DF18" s="26">
        <f>DF8*(DF$5*(1-Assumptions!$B$27*Assumptions!$B$28)+IF(DF$3&gt;=3,Assumptions!$B$29/12,0))</f>
        <v>169832.61007400256</v>
      </c>
      <c r="DG18" s="26">
        <f>DG8*(DG$5*(1-Assumptions!$B$27*Assumptions!$B$28)+IF(DG$3&gt;=3,Assumptions!$B$29/12,0))</f>
        <v>174868.52587622261</v>
      </c>
      <c r="DH18" s="26">
        <f>DH8*(DH$5*(1-Assumptions!$B$27*Assumptions!$B$28)+IF(DH$3&gt;=3,Assumptions!$B$29/12,0))</f>
        <v>174868.52587622261</v>
      </c>
      <c r="DI18" s="26">
        <f>DI8*(DI$5*(1-Assumptions!$B$27*Assumptions!$B$28)+IF(DI$3&gt;=3,Assumptions!$B$29/12,0))</f>
        <v>174868.52587622261</v>
      </c>
      <c r="DJ18" s="26">
        <f>DJ8*(DJ$5*(1-Assumptions!$B$27*Assumptions!$B$28)+IF(DJ$3&gt;=3,Assumptions!$B$29/12,0))</f>
        <v>174868.52587622261</v>
      </c>
      <c r="DK18" s="26">
        <f>DK8*(DK$5*(1-Assumptions!$B$27*Assumptions!$B$28)+IF(DK$3&gt;=3,Assumptions!$B$29/12,0))</f>
        <v>174868.52587622261</v>
      </c>
      <c r="DL18" s="26">
        <f>DL8*(DL$5*(1-Assumptions!$B$27*Assumptions!$B$28)+IF(DL$3&gt;=3,Assumptions!$B$29/12,0))</f>
        <v>174868.52587622261</v>
      </c>
      <c r="DM18" s="26">
        <f>DM8*(DM$5*(1-Assumptions!$B$27*Assumptions!$B$28)+IF(DM$3&gt;=3,Assumptions!$B$29/12,0))</f>
        <v>174868.52587622261</v>
      </c>
      <c r="DN18" s="26">
        <f>DN8*(DN$5*(1-Assumptions!$B$27*Assumptions!$B$28)+IF(DN$3&gt;=3,Assumptions!$B$29/12,0))</f>
        <v>174868.52587622261</v>
      </c>
      <c r="DO18" s="26">
        <f>DO8*(DO$5*(1-Assumptions!$B$27*Assumptions!$B$28)+IF(DO$3&gt;=3,Assumptions!$B$29/12,0))</f>
        <v>174868.52587622261</v>
      </c>
      <c r="DP18" s="26">
        <f>DP8*(DP$5*(1-Assumptions!$B$27*Assumptions!$B$28)+IF(DP$3&gt;=3,Assumptions!$B$29/12,0))</f>
        <v>174868.52587622261</v>
      </c>
      <c r="DQ18" s="26">
        <f>DQ8*(DQ$5*(1-Assumptions!$B$27*Assumptions!$B$28)+IF(DQ$3&gt;=3,Assumptions!$B$29/12,0))</f>
        <v>174868.52587622261</v>
      </c>
      <c r="DR18" s="26">
        <f>DR8*(DR$5*(1-Assumptions!$B$27*Assumptions!$B$28)+IF(DR$3&gt;=3,Assumptions!$B$29/12,0))</f>
        <v>174868.52587622261</v>
      </c>
    </row>
    <row r="19" spans="1:122" x14ac:dyDescent="0.2">
      <c r="A19" s="9" t="s">
        <v>90</v>
      </c>
      <c r="C19" s="26">
        <f>C9*(C$5*(1-Assumptions!$B$27*Assumptions!$B$28)+IF(C$3&gt;=3,Assumptions!$B$29/12,0))</f>
        <v>0</v>
      </c>
      <c r="D19" s="26">
        <f>D9*(D$5*(1-Assumptions!$B$27*Assumptions!$B$28)+IF(D$3&gt;=3,Assumptions!$B$29/12,0))</f>
        <v>0</v>
      </c>
      <c r="E19" s="26">
        <f>E9*(E$5*(1-Assumptions!$B$27*Assumptions!$B$28)+IF(E$3&gt;=3,Assumptions!$B$29/12,0))</f>
        <v>0</v>
      </c>
      <c r="F19" s="26">
        <f>F9*(F$5*(1-Assumptions!$B$27*Assumptions!$B$28)+IF(F$3&gt;=3,Assumptions!$B$29/12,0))</f>
        <v>0</v>
      </c>
      <c r="G19" s="26">
        <f>G9*(G$5*(1-Assumptions!$B$27*Assumptions!$B$28)+IF(G$3&gt;=3,Assumptions!$B$29/12,0))</f>
        <v>0</v>
      </c>
      <c r="H19" s="26">
        <f>H9*(H$5*(1-Assumptions!$B$27*Assumptions!$B$28)+IF(H$3&gt;=3,Assumptions!$B$29/12,0))</f>
        <v>0</v>
      </c>
      <c r="I19" s="26">
        <f>I9*(I$5*(1-Assumptions!$B$27*Assumptions!$B$28)+IF(I$3&gt;=3,Assumptions!$B$29/12,0))</f>
        <v>0</v>
      </c>
      <c r="J19" s="26">
        <f>J9*(J$5*(1-Assumptions!$B$27*Assumptions!$B$28)+IF(J$3&gt;=3,Assumptions!$B$29/12,0))</f>
        <v>0</v>
      </c>
      <c r="K19" s="26">
        <f>K9*(K$5*(1-Assumptions!$B$27*Assumptions!$B$28)+IF(K$3&gt;=3,Assumptions!$B$29/12,0))</f>
        <v>0</v>
      </c>
      <c r="L19" s="26">
        <f>L9*(L$5*(1-Assumptions!$B$27*Assumptions!$B$28)+IF(L$3&gt;=3,Assumptions!$B$29/12,0))</f>
        <v>0</v>
      </c>
      <c r="M19" s="26">
        <f>M9*(M$5*(1-Assumptions!$B$27*Assumptions!$B$28)+IF(M$3&gt;=3,Assumptions!$B$29/12,0))</f>
        <v>0</v>
      </c>
      <c r="N19" s="26">
        <f>N9*(N$5*(1-Assumptions!$B$27*Assumptions!$B$28)+IF(N$3&gt;=3,Assumptions!$B$29/12,0))</f>
        <v>0</v>
      </c>
      <c r="O19" s="26">
        <f>O9*(O$5*(1-Assumptions!$B$27*Assumptions!$B$28)+IF(O$3&gt;=3,Assumptions!$B$29/12,0))</f>
        <v>0</v>
      </c>
      <c r="P19" s="26">
        <f>P9*(P$5*(1-Assumptions!$B$27*Assumptions!$B$28)+IF(P$3&gt;=3,Assumptions!$B$29/12,0))</f>
        <v>0</v>
      </c>
      <c r="Q19" s="26">
        <f>Q9*(Q$5*(1-Assumptions!$B$27*Assumptions!$B$28)+IF(Q$3&gt;=3,Assumptions!$B$29/12,0))</f>
        <v>0</v>
      </c>
      <c r="R19" s="26">
        <f>R9*(R$5*(1-Assumptions!$B$27*Assumptions!$B$28)+IF(R$3&gt;=3,Assumptions!$B$29/12,0))</f>
        <v>0</v>
      </c>
      <c r="S19" s="26">
        <f>S9*(S$5*(1-Assumptions!$B$27*Assumptions!$B$28)+IF(S$3&gt;=3,Assumptions!$B$29/12,0))</f>
        <v>0</v>
      </c>
      <c r="T19" s="26">
        <f>T9*(T$5*(1-Assumptions!$B$27*Assumptions!$B$28)+IF(T$3&gt;=3,Assumptions!$B$29/12,0))</f>
        <v>0</v>
      </c>
      <c r="U19" s="26">
        <f>U9*(U$5*(1-Assumptions!$B$27*Assumptions!$B$28)+IF(U$3&gt;=3,Assumptions!$B$29/12,0))</f>
        <v>0</v>
      </c>
      <c r="V19" s="26">
        <f>V9*(V$5*(1-Assumptions!$B$27*Assumptions!$B$28)+IF(V$3&gt;=3,Assumptions!$B$29/12,0))</f>
        <v>0</v>
      </c>
      <c r="W19" s="26">
        <f>W9*(W$5*(1-Assumptions!$B$27*Assumptions!$B$28)+IF(W$3&gt;=3,Assumptions!$B$29/12,0))</f>
        <v>0</v>
      </c>
      <c r="X19" s="26">
        <f>X9*(X$5*(1-Assumptions!$B$27*Assumptions!$B$28)+IF(X$3&gt;=3,Assumptions!$B$29/12,0))</f>
        <v>0</v>
      </c>
      <c r="Y19" s="26">
        <f>Y9*(Y$5*(1-Assumptions!$B$27*Assumptions!$B$28)+IF(Y$3&gt;=3,Assumptions!$B$29/12,0))</f>
        <v>0</v>
      </c>
      <c r="Z19" s="26">
        <f>Z9*(Z$5*(1-Assumptions!$B$27*Assumptions!$B$28)+IF(Z$3&gt;=3,Assumptions!$B$29/12,0))</f>
        <v>0</v>
      </c>
      <c r="AA19" s="26">
        <f>AA9*(AA$5*(1-Assumptions!$B$27*Assumptions!$B$28)+IF(AA$3&gt;=3,Assumptions!$B$29/12,0))</f>
        <v>3959.7802799479164</v>
      </c>
      <c r="AB19" s="26">
        <f>AB9*(AB$5*(1-Assumptions!$B$27*Assumptions!$B$28)+IF(AB$3&gt;=3,Assumptions!$B$29/12,0))</f>
        <v>7919.5605598958327</v>
      </c>
      <c r="AC19" s="26">
        <f>AC9*(AC$5*(1-Assumptions!$B$27*Assumptions!$B$28)+IF(AC$3&gt;=3,Assumptions!$B$29/12,0))</f>
        <v>11879.340839843751</v>
      </c>
      <c r="AD19" s="26">
        <f>AD9*(AD$5*(1-Assumptions!$B$27*Assumptions!$B$28)+IF(AD$3&gt;=3,Assumptions!$B$29/12,0))</f>
        <v>15839.121119791665</v>
      </c>
      <c r="AE19" s="26">
        <f>AE9*(AE$5*(1-Assumptions!$B$27*Assumptions!$B$28)+IF(AE$3&gt;=3,Assumptions!$B$29/12,0))</f>
        <v>19798.901399739581</v>
      </c>
      <c r="AF19" s="26">
        <f>AF9*(AF$5*(1-Assumptions!$B$27*Assumptions!$B$28)+IF(AF$3&gt;=3,Assumptions!$B$29/12,0))</f>
        <v>23758.681679687503</v>
      </c>
      <c r="AG19" s="26">
        <f>AG9*(AG$5*(1-Assumptions!$B$27*Assumptions!$B$28)+IF(AG$3&gt;=3,Assumptions!$B$29/12,0))</f>
        <v>27718.461959635413</v>
      </c>
      <c r="AH19" s="26">
        <f>AH9*(AH$5*(1-Assumptions!$B$27*Assumptions!$B$28)+IF(AH$3&gt;=3,Assumptions!$B$29/12,0))</f>
        <v>31678.242239583331</v>
      </c>
      <c r="AI19" s="26">
        <f>AI9*(AI$5*(1-Assumptions!$B$27*Assumptions!$B$28)+IF(AI$3&gt;=3,Assumptions!$B$29/12,0))</f>
        <v>35638.022519531245</v>
      </c>
      <c r="AJ19" s="26">
        <f>AJ9*(AJ$5*(1-Assumptions!$B$27*Assumptions!$B$28)+IF(AJ$3&gt;=3,Assumptions!$B$29/12,0))</f>
        <v>39597.802799479163</v>
      </c>
      <c r="AK19" s="26">
        <f>AK9*(AK$5*(1-Assumptions!$B$27*Assumptions!$B$28)+IF(AK$3&gt;=3,Assumptions!$B$29/12,0))</f>
        <v>43557.583079427088</v>
      </c>
      <c r="AL19" s="26">
        <f>AL9*(AL$5*(1-Assumptions!$B$27*Assumptions!$B$28)+IF(AL$3&gt;=3,Assumptions!$B$29/12,0))</f>
        <v>47517.363359375006</v>
      </c>
      <c r="AM19" s="26">
        <f>AM9*(AM$5*(1-Assumptions!$B$27*Assumptions!$B$28)+IF(AM$3&gt;=3,Assumptions!$B$29/12,0))</f>
        <v>53000.129823502597</v>
      </c>
      <c r="AN19" s="26">
        <f>AN9*(AN$5*(1-Assumptions!$B$27*Assumptions!$B$28)+IF(AN$3&gt;=3,Assumptions!$B$29/12,0))</f>
        <v>57077.062886848944</v>
      </c>
      <c r="AO19" s="26">
        <f>AO9*(AO$5*(1-Assumptions!$B$27*Assumptions!$B$28)+IF(AO$3&gt;=3,Assumptions!$B$29/12,0))</f>
        <v>61153.995950195305</v>
      </c>
      <c r="AP19" s="26">
        <f>AP9*(AP$5*(1-Assumptions!$B$27*Assumptions!$B$28)+IF(AP$3&gt;=3,Assumptions!$B$29/12,0))</f>
        <v>65230.92901354166</v>
      </c>
      <c r="AQ19" s="26">
        <f>AQ9*(AQ$5*(1-Assumptions!$B$27*Assumptions!$B$28)+IF(AQ$3&gt;=3,Assumptions!$B$29/12,0))</f>
        <v>69307.862076888021</v>
      </c>
      <c r="AR19" s="26">
        <f>AR9*(AR$5*(1-Assumptions!$B$27*Assumptions!$B$28)+IF(AR$3&gt;=3,Assumptions!$B$29/12,0))</f>
        <v>73384.795140234346</v>
      </c>
      <c r="AS19" s="26">
        <f>AS9*(AS$5*(1-Assumptions!$B$27*Assumptions!$B$28)+IF(AS$3&gt;=3,Assumptions!$B$29/12,0))</f>
        <v>77461.728203580715</v>
      </c>
      <c r="AT19" s="26">
        <f>AT9*(AT$5*(1-Assumptions!$B$27*Assumptions!$B$28)+IF(AT$3&gt;=3,Assumptions!$B$29/12,0))</f>
        <v>81538.661266927069</v>
      </c>
      <c r="AU19" s="26">
        <f>AU9*(AU$5*(1-Assumptions!$B$27*Assumptions!$B$28)+IF(AU$3&gt;=3,Assumptions!$B$29/12,0))</f>
        <v>85615.594330273423</v>
      </c>
      <c r="AV19" s="26">
        <f>AV9*(AV$5*(1-Assumptions!$B$27*Assumptions!$B$28)+IF(AV$3&gt;=3,Assumptions!$B$29/12,0))</f>
        <v>89692.527393619792</v>
      </c>
      <c r="AW19" s="26">
        <f>AW9*(AW$5*(1-Assumptions!$B$27*Assumptions!$B$28)+IF(AW$3&gt;=3,Assumptions!$B$29/12,0))</f>
        <v>93769.460456966117</v>
      </c>
      <c r="AX19" s="26">
        <f>AX9*(AX$5*(1-Assumptions!$B$27*Assumptions!$B$28)+IF(AX$3&gt;=3,Assumptions!$B$29/12,0))</f>
        <v>97846.3935203125</v>
      </c>
      <c r="AY19" s="26">
        <f>AY9*(AY$5*(1-Assumptions!$B$27*Assumptions!$B$28)+IF(AY$3&gt;=3,Assumptions!$B$29/12,0))</f>
        <v>104940.01075616862</v>
      </c>
      <c r="AZ19" s="26">
        <f>AZ9*(AZ$5*(1-Assumptions!$B$27*Assumptions!$B$28)+IF(AZ$3&gt;=3,Assumptions!$B$29/12,0))</f>
        <v>109137.61118641536</v>
      </c>
      <c r="BA19" s="26">
        <f>BA9*(BA$5*(1-Assumptions!$B$27*Assumptions!$B$28)+IF(BA$3&gt;=3,Assumptions!$B$29/12,0))</f>
        <v>113335.21161666211</v>
      </c>
      <c r="BB19" s="26">
        <f>BB9*(BB$5*(1-Assumptions!$B$27*Assumptions!$B$28)+IF(BB$3&gt;=3,Assumptions!$B$29/12,0))</f>
        <v>117532.81204690883</v>
      </c>
      <c r="BC19" s="26">
        <f>BC9*(BC$5*(1-Assumptions!$B$27*Assumptions!$B$28)+IF(BC$3&gt;=3,Assumptions!$B$29/12,0))</f>
        <v>121730.41247715561</v>
      </c>
      <c r="BD19" s="26">
        <f>BD9*(BD$5*(1-Assumptions!$B$27*Assumptions!$B$28)+IF(BD$3&gt;=3,Assumptions!$B$29/12,0))</f>
        <v>125928.01290740234</v>
      </c>
      <c r="BE19" s="26">
        <f>BE9*(BE$5*(1-Assumptions!$B$27*Assumptions!$B$28)+IF(BE$3&gt;=3,Assumptions!$B$29/12,0))</f>
        <v>130125.61333764909</v>
      </c>
      <c r="BF19" s="26">
        <f>BF9*(BF$5*(1-Assumptions!$B$27*Assumptions!$B$28)+IF(BF$3&gt;=3,Assumptions!$B$29/12,0))</f>
        <v>134323.21376789582</v>
      </c>
      <c r="BG19" s="26">
        <f>BG9*(BG$5*(1-Assumptions!$B$27*Assumptions!$B$28)+IF(BG$3&gt;=3,Assumptions!$B$29/12,0))</f>
        <v>138520.81419814259</v>
      </c>
      <c r="BH19" s="26">
        <f>BH9*(BH$5*(1-Assumptions!$B$27*Assumptions!$B$28)+IF(BH$3&gt;=3,Assumptions!$B$29/12,0))</f>
        <v>142718.41462838935</v>
      </c>
      <c r="BI19" s="26">
        <f>BI9*(BI$5*(1-Assumptions!$B$27*Assumptions!$B$28)+IF(BI$3&gt;=3,Assumptions!$B$29/12,0))</f>
        <v>146916.01505863605</v>
      </c>
      <c r="BJ19" s="26">
        <f>BJ9*(BJ$5*(1-Assumptions!$B$27*Assumptions!$B$28)+IF(BJ$3&gt;=3,Assumptions!$B$29/12,0))</f>
        <v>151113.61548888279</v>
      </c>
      <c r="BK19" s="26">
        <f>BK9*(BK$5*(1-Assumptions!$B$27*Assumptions!$B$28)+IF(BK$3&gt;=3,Assumptions!$B$29/12,0))</f>
        <v>155587.96145354924</v>
      </c>
      <c r="BL19" s="26">
        <f>BL9*(BL$5*(1-Assumptions!$B$27*Assumptions!$B$28)+IF(BL$3&gt;=3,Assumptions!$B$29/12,0))</f>
        <v>155587.96145354924</v>
      </c>
      <c r="BM19" s="26">
        <f>BM9*(BM$5*(1-Assumptions!$B$27*Assumptions!$B$28)+IF(BM$3&gt;=3,Assumptions!$B$29/12,0))</f>
        <v>155587.96145354924</v>
      </c>
      <c r="BN19" s="26">
        <f>BN9*(BN$5*(1-Assumptions!$B$27*Assumptions!$B$28)+IF(BN$3&gt;=3,Assumptions!$B$29/12,0))</f>
        <v>155587.96145354924</v>
      </c>
      <c r="BO19" s="26">
        <f>BO9*(BO$5*(1-Assumptions!$B$27*Assumptions!$B$28)+IF(BO$3&gt;=3,Assumptions!$B$29/12,0))</f>
        <v>155587.96145354924</v>
      </c>
      <c r="BP19" s="26">
        <f>BP9*(BP$5*(1-Assumptions!$B$27*Assumptions!$B$28)+IF(BP$3&gt;=3,Assumptions!$B$29/12,0))</f>
        <v>155587.96145354924</v>
      </c>
      <c r="BQ19" s="26">
        <f>BQ9*(BQ$5*(1-Assumptions!$B$27*Assumptions!$B$28)+IF(BQ$3&gt;=3,Assumptions!$B$29/12,0))</f>
        <v>155587.96145354924</v>
      </c>
      <c r="BR19" s="26">
        <f>BR9*(BR$5*(1-Assumptions!$B$27*Assumptions!$B$28)+IF(BR$3&gt;=3,Assumptions!$B$29/12,0))</f>
        <v>155587.96145354924</v>
      </c>
      <c r="BS19" s="26">
        <f>BS9*(BS$5*(1-Assumptions!$B$27*Assumptions!$B$28)+IF(BS$3&gt;=3,Assumptions!$B$29/12,0))</f>
        <v>155587.96145354924</v>
      </c>
      <c r="BT19" s="26">
        <f>BT9*(BT$5*(1-Assumptions!$B$27*Assumptions!$B$28)+IF(BT$3&gt;=3,Assumptions!$B$29/12,0))</f>
        <v>155587.96145354924</v>
      </c>
      <c r="BU19" s="26">
        <f>BU9*(BU$5*(1-Assumptions!$B$27*Assumptions!$B$28)+IF(BU$3&gt;=3,Assumptions!$B$29/12,0))</f>
        <v>155587.96145354924</v>
      </c>
      <c r="BV19" s="26">
        <f>BV9*(BV$5*(1-Assumptions!$B$27*Assumptions!$B$28)+IF(BV$3&gt;=3,Assumptions!$B$29/12,0))</f>
        <v>155587.96145354924</v>
      </c>
      <c r="BW19" s="26">
        <f>BW9*(BW$5*(1-Assumptions!$B$27*Assumptions!$B$28)+IF(BW$3&gt;=3,Assumptions!$B$29/12,0))</f>
        <v>160196.53779715576</v>
      </c>
      <c r="BX19" s="26">
        <f>BX9*(BX$5*(1-Assumptions!$B$27*Assumptions!$B$28)+IF(BX$3&gt;=3,Assumptions!$B$29/12,0))</f>
        <v>160196.53779715576</v>
      </c>
      <c r="BY19" s="26">
        <f>BY9*(BY$5*(1-Assumptions!$B$27*Assumptions!$B$28)+IF(BY$3&gt;=3,Assumptions!$B$29/12,0))</f>
        <v>160196.53779715576</v>
      </c>
      <c r="BZ19" s="26">
        <f>BZ9*(BZ$5*(1-Assumptions!$B$27*Assumptions!$B$28)+IF(BZ$3&gt;=3,Assumptions!$B$29/12,0))</f>
        <v>160196.53779715576</v>
      </c>
      <c r="CA19" s="26">
        <f>CA9*(CA$5*(1-Assumptions!$B$27*Assumptions!$B$28)+IF(CA$3&gt;=3,Assumptions!$B$29/12,0))</f>
        <v>160196.53779715576</v>
      </c>
      <c r="CB19" s="26">
        <f>CB9*(CB$5*(1-Assumptions!$B$27*Assumptions!$B$28)+IF(CB$3&gt;=3,Assumptions!$B$29/12,0))</f>
        <v>160196.53779715576</v>
      </c>
      <c r="CC19" s="26">
        <f>CC9*(CC$5*(1-Assumptions!$B$27*Assumptions!$B$28)+IF(CC$3&gt;=3,Assumptions!$B$29/12,0))</f>
        <v>160196.53779715576</v>
      </c>
      <c r="CD19" s="26">
        <f>CD9*(CD$5*(1-Assumptions!$B$27*Assumptions!$B$28)+IF(CD$3&gt;=3,Assumptions!$B$29/12,0))</f>
        <v>160196.53779715576</v>
      </c>
      <c r="CE19" s="26">
        <f>CE9*(CE$5*(1-Assumptions!$B$27*Assumptions!$B$28)+IF(CE$3&gt;=3,Assumptions!$B$29/12,0))</f>
        <v>160196.53779715576</v>
      </c>
      <c r="CF19" s="26">
        <f>CF9*(CF$5*(1-Assumptions!$B$27*Assumptions!$B$28)+IF(CF$3&gt;=3,Assumptions!$B$29/12,0))</f>
        <v>160196.53779715576</v>
      </c>
      <c r="CG19" s="26">
        <f>CG9*(CG$5*(1-Assumptions!$B$27*Assumptions!$B$28)+IF(CG$3&gt;=3,Assumptions!$B$29/12,0))</f>
        <v>160196.53779715576</v>
      </c>
      <c r="CH19" s="26">
        <f>CH9*(CH$5*(1-Assumptions!$B$27*Assumptions!$B$28)+IF(CH$3&gt;=3,Assumptions!$B$29/12,0))</f>
        <v>160196.53779715576</v>
      </c>
      <c r="CI19" s="26">
        <f>CI9*(CI$5*(1-Assumptions!$B$27*Assumptions!$B$28)+IF(CI$3&gt;=3,Assumptions!$B$29/12,0))</f>
        <v>164943.37143107044</v>
      </c>
      <c r="CJ19" s="26">
        <f>CJ9*(CJ$5*(1-Assumptions!$B$27*Assumptions!$B$28)+IF(CJ$3&gt;=3,Assumptions!$B$29/12,0))</f>
        <v>164943.37143107044</v>
      </c>
      <c r="CK19" s="26">
        <f>CK9*(CK$5*(1-Assumptions!$B$27*Assumptions!$B$28)+IF(CK$3&gt;=3,Assumptions!$B$29/12,0))</f>
        <v>164943.37143107044</v>
      </c>
      <c r="CL19" s="26">
        <f>CL9*(CL$5*(1-Assumptions!$B$27*Assumptions!$B$28)+IF(CL$3&gt;=3,Assumptions!$B$29/12,0))</f>
        <v>164943.37143107044</v>
      </c>
      <c r="CM19" s="26">
        <f>CM9*(CM$5*(1-Assumptions!$B$27*Assumptions!$B$28)+IF(CM$3&gt;=3,Assumptions!$B$29/12,0))</f>
        <v>164943.37143107044</v>
      </c>
      <c r="CN19" s="26">
        <f>CN9*(CN$5*(1-Assumptions!$B$27*Assumptions!$B$28)+IF(CN$3&gt;=3,Assumptions!$B$29/12,0))</f>
        <v>164943.37143107044</v>
      </c>
      <c r="CO19" s="26">
        <f>CO9*(CO$5*(1-Assumptions!$B$27*Assumptions!$B$28)+IF(CO$3&gt;=3,Assumptions!$B$29/12,0))</f>
        <v>164943.37143107044</v>
      </c>
      <c r="CP19" s="26">
        <f>CP9*(CP$5*(1-Assumptions!$B$27*Assumptions!$B$28)+IF(CP$3&gt;=3,Assumptions!$B$29/12,0))</f>
        <v>164943.37143107044</v>
      </c>
      <c r="CQ19" s="26">
        <f>CQ9*(CQ$5*(1-Assumptions!$B$27*Assumptions!$B$28)+IF(CQ$3&gt;=3,Assumptions!$B$29/12,0))</f>
        <v>164943.37143107044</v>
      </c>
      <c r="CR19" s="26">
        <f>CR9*(CR$5*(1-Assumptions!$B$27*Assumptions!$B$28)+IF(CR$3&gt;=3,Assumptions!$B$29/12,0))</f>
        <v>164943.37143107044</v>
      </c>
      <c r="CS19" s="26">
        <f>CS9*(CS$5*(1-Assumptions!$B$27*Assumptions!$B$28)+IF(CS$3&gt;=3,Assumptions!$B$29/12,0))</f>
        <v>164943.37143107044</v>
      </c>
      <c r="CT19" s="26">
        <f>CT9*(CT$5*(1-Assumptions!$B$27*Assumptions!$B$28)+IF(CT$3&gt;=3,Assumptions!$B$29/12,0))</f>
        <v>164943.37143107044</v>
      </c>
      <c r="CU19" s="26">
        <f>CU9*(CU$5*(1-Assumptions!$B$27*Assumptions!$B$28)+IF(CU$3&gt;=3,Assumptions!$B$29/12,0))</f>
        <v>169832.61007400256</v>
      </c>
      <c r="CV19" s="26">
        <f>CV9*(CV$5*(1-Assumptions!$B$27*Assumptions!$B$28)+IF(CV$3&gt;=3,Assumptions!$B$29/12,0))</f>
        <v>169832.61007400256</v>
      </c>
      <c r="CW19" s="26">
        <f>CW9*(CW$5*(1-Assumptions!$B$27*Assumptions!$B$28)+IF(CW$3&gt;=3,Assumptions!$B$29/12,0))</f>
        <v>169832.61007400256</v>
      </c>
      <c r="CX19" s="26">
        <f>CX9*(CX$5*(1-Assumptions!$B$27*Assumptions!$B$28)+IF(CX$3&gt;=3,Assumptions!$B$29/12,0))</f>
        <v>169832.61007400256</v>
      </c>
      <c r="CY19" s="26">
        <f>CY9*(CY$5*(1-Assumptions!$B$27*Assumptions!$B$28)+IF(CY$3&gt;=3,Assumptions!$B$29/12,0))</f>
        <v>169832.61007400256</v>
      </c>
      <c r="CZ19" s="26">
        <f>CZ9*(CZ$5*(1-Assumptions!$B$27*Assumptions!$B$28)+IF(CZ$3&gt;=3,Assumptions!$B$29/12,0))</f>
        <v>169832.61007400256</v>
      </c>
      <c r="DA19" s="26">
        <f>DA9*(DA$5*(1-Assumptions!$B$27*Assumptions!$B$28)+IF(DA$3&gt;=3,Assumptions!$B$29/12,0))</f>
        <v>169832.61007400256</v>
      </c>
      <c r="DB19" s="26">
        <f>DB9*(DB$5*(1-Assumptions!$B$27*Assumptions!$B$28)+IF(DB$3&gt;=3,Assumptions!$B$29/12,0))</f>
        <v>169832.61007400256</v>
      </c>
      <c r="DC19" s="26">
        <f>DC9*(DC$5*(1-Assumptions!$B$27*Assumptions!$B$28)+IF(DC$3&gt;=3,Assumptions!$B$29/12,0))</f>
        <v>169832.61007400256</v>
      </c>
      <c r="DD19" s="26">
        <f>DD9*(DD$5*(1-Assumptions!$B$27*Assumptions!$B$28)+IF(DD$3&gt;=3,Assumptions!$B$29/12,0))</f>
        <v>169832.61007400256</v>
      </c>
      <c r="DE19" s="26">
        <f>DE9*(DE$5*(1-Assumptions!$B$27*Assumptions!$B$28)+IF(DE$3&gt;=3,Assumptions!$B$29/12,0))</f>
        <v>169832.61007400256</v>
      </c>
      <c r="DF19" s="26">
        <f>DF9*(DF$5*(1-Assumptions!$B$27*Assumptions!$B$28)+IF(DF$3&gt;=3,Assumptions!$B$29/12,0))</f>
        <v>169832.61007400256</v>
      </c>
      <c r="DG19" s="26">
        <f>DG9*(DG$5*(1-Assumptions!$B$27*Assumptions!$B$28)+IF(DG$3&gt;=3,Assumptions!$B$29/12,0))</f>
        <v>174868.52587622261</v>
      </c>
      <c r="DH19" s="26">
        <f>DH9*(DH$5*(1-Assumptions!$B$27*Assumptions!$B$28)+IF(DH$3&gt;=3,Assumptions!$B$29/12,0))</f>
        <v>174868.52587622261</v>
      </c>
      <c r="DI19" s="26">
        <f>DI9*(DI$5*(1-Assumptions!$B$27*Assumptions!$B$28)+IF(DI$3&gt;=3,Assumptions!$B$29/12,0))</f>
        <v>174868.52587622261</v>
      </c>
      <c r="DJ19" s="26">
        <f>DJ9*(DJ$5*(1-Assumptions!$B$27*Assumptions!$B$28)+IF(DJ$3&gt;=3,Assumptions!$B$29/12,0))</f>
        <v>174868.52587622261</v>
      </c>
      <c r="DK19" s="26">
        <f>DK9*(DK$5*(1-Assumptions!$B$27*Assumptions!$B$28)+IF(DK$3&gt;=3,Assumptions!$B$29/12,0))</f>
        <v>174868.52587622261</v>
      </c>
      <c r="DL19" s="26">
        <f>DL9*(DL$5*(1-Assumptions!$B$27*Assumptions!$B$28)+IF(DL$3&gt;=3,Assumptions!$B$29/12,0))</f>
        <v>174868.52587622261</v>
      </c>
      <c r="DM19" s="26">
        <f>DM9*(DM$5*(1-Assumptions!$B$27*Assumptions!$B$28)+IF(DM$3&gt;=3,Assumptions!$B$29/12,0))</f>
        <v>174868.52587622261</v>
      </c>
      <c r="DN19" s="26">
        <f>DN9*(DN$5*(1-Assumptions!$B$27*Assumptions!$B$28)+IF(DN$3&gt;=3,Assumptions!$B$29/12,0))</f>
        <v>174868.52587622261</v>
      </c>
      <c r="DO19" s="26">
        <f>DO9*(DO$5*(1-Assumptions!$B$27*Assumptions!$B$28)+IF(DO$3&gt;=3,Assumptions!$B$29/12,0))</f>
        <v>174868.52587622261</v>
      </c>
      <c r="DP19" s="26">
        <f>DP9*(DP$5*(1-Assumptions!$B$27*Assumptions!$B$28)+IF(DP$3&gt;=3,Assumptions!$B$29/12,0))</f>
        <v>174868.52587622261</v>
      </c>
      <c r="DQ19" s="26">
        <f>DQ9*(DQ$5*(1-Assumptions!$B$27*Assumptions!$B$28)+IF(DQ$3&gt;=3,Assumptions!$B$29/12,0))</f>
        <v>174868.52587622261</v>
      </c>
      <c r="DR19" s="26">
        <f>DR9*(DR$5*(1-Assumptions!$B$27*Assumptions!$B$28)+IF(DR$3&gt;=3,Assumptions!$B$29/12,0))</f>
        <v>174868.52587622261</v>
      </c>
    </row>
    <row r="20" spans="1:122" x14ac:dyDescent="0.2">
      <c r="A20" s="9" t="s">
        <v>91</v>
      </c>
      <c r="C20" s="26">
        <f>C10*(C$5*(1-Assumptions!$B$27*Assumptions!$B$28)+IF(C$3&gt;=3,Assumptions!$B$29/12,0))</f>
        <v>0</v>
      </c>
      <c r="D20" s="26">
        <f>D10*(D$5*(1-Assumptions!$B$27*Assumptions!$B$28)+IF(D$3&gt;=3,Assumptions!$B$29/12,0))</f>
        <v>0</v>
      </c>
      <c r="E20" s="26">
        <f>E10*(E$5*(1-Assumptions!$B$27*Assumptions!$B$28)+IF(E$3&gt;=3,Assumptions!$B$29/12,0))</f>
        <v>0</v>
      </c>
      <c r="F20" s="26">
        <f>F10*(F$5*(1-Assumptions!$B$27*Assumptions!$B$28)+IF(F$3&gt;=3,Assumptions!$B$29/12,0))</f>
        <v>0</v>
      </c>
      <c r="G20" s="26">
        <f>G10*(G$5*(1-Assumptions!$B$27*Assumptions!$B$28)+IF(G$3&gt;=3,Assumptions!$B$29/12,0))</f>
        <v>0</v>
      </c>
      <c r="H20" s="26">
        <f>H10*(H$5*(1-Assumptions!$B$27*Assumptions!$B$28)+IF(H$3&gt;=3,Assumptions!$B$29/12,0))</f>
        <v>0</v>
      </c>
      <c r="I20" s="26">
        <f>I10*(I$5*(1-Assumptions!$B$27*Assumptions!$B$28)+IF(I$3&gt;=3,Assumptions!$B$29/12,0))</f>
        <v>0</v>
      </c>
      <c r="J20" s="26">
        <f>J10*(J$5*(1-Assumptions!$B$27*Assumptions!$B$28)+IF(J$3&gt;=3,Assumptions!$B$29/12,0))</f>
        <v>0</v>
      </c>
      <c r="K20" s="26">
        <f>K10*(K$5*(1-Assumptions!$B$27*Assumptions!$B$28)+IF(K$3&gt;=3,Assumptions!$B$29/12,0))</f>
        <v>0</v>
      </c>
      <c r="L20" s="26">
        <f>L10*(L$5*(1-Assumptions!$B$27*Assumptions!$B$28)+IF(L$3&gt;=3,Assumptions!$B$29/12,0))</f>
        <v>0</v>
      </c>
      <c r="M20" s="26">
        <f>M10*(M$5*(1-Assumptions!$B$27*Assumptions!$B$28)+IF(M$3&gt;=3,Assumptions!$B$29/12,0))</f>
        <v>0</v>
      </c>
      <c r="N20" s="26">
        <f>N10*(N$5*(1-Assumptions!$B$27*Assumptions!$B$28)+IF(N$3&gt;=3,Assumptions!$B$29/12,0))</f>
        <v>0</v>
      </c>
      <c r="O20" s="26">
        <f>O10*(O$5*(1-Assumptions!$B$27*Assumptions!$B$28)+IF(O$3&gt;=3,Assumptions!$B$29/12,0))</f>
        <v>0</v>
      </c>
      <c r="P20" s="26">
        <f>P10*(P$5*(1-Assumptions!$B$27*Assumptions!$B$28)+IF(P$3&gt;=3,Assumptions!$B$29/12,0))</f>
        <v>0</v>
      </c>
      <c r="Q20" s="26">
        <f>Q10*(Q$5*(1-Assumptions!$B$27*Assumptions!$B$28)+IF(Q$3&gt;=3,Assumptions!$B$29/12,0))</f>
        <v>0</v>
      </c>
      <c r="R20" s="26">
        <f>R10*(R$5*(1-Assumptions!$B$27*Assumptions!$B$28)+IF(R$3&gt;=3,Assumptions!$B$29/12,0))</f>
        <v>0</v>
      </c>
      <c r="S20" s="26">
        <f>S10*(S$5*(1-Assumptions!$B$27*Assumptions!$B$28)+IF(S$3&gt;=3,Assumptions!$B$29/12,0))</f>
        <v>0</v>
      </c>
      <c r="T20" s="26">
        <f>T10*(T$5*(1-Assumptions!$B$27*Assumptions!$B$28)+IF(T$3&gt;=3,Assumptions!$B$29/12,0))</f>
        <v>0</v>
      </c>
      <c r="U20" s="26">
        <f>U10*(U$5*(1-Assumptions!$B$27*Assumptions!$B$28)+IF(U$3&gt;=3,Assumptions!$B$29/12,0))</f>
        <v>0</v>
      </c>
      <c r="V20" s="26">
        <f>V10*(V$5*(1-Assumptions!$B$27*Assumptions!$B$28)+IF(V$3&gt;=3,Assumptions!$B$29/12,0))</f>
        <v>0</v>
      </c>
      <c r="W20" s="26">
        <f>W10*(W$5*(1-Assumptions!$B$27*Assumptions!$B$28)+IF(W$3&gt;=3,Assumptions!$B$29/12,0))</f>
        <v>0</v>
      </c>
      <c r="X20" s="26">
        <f>X10*(X$5*(1-Assumptions!$B$27*Assumptions!$B$28)+IF(X$3&gt;=3,Assumptions!$B$29/12,0))</f>
        <v>0</v>
      </c>
      <c r="Y20" s="26">
        <f>Y10*(Y$5*(1-Assumptions!$B$27*Assumptions!$B$28)+IF(Y$3&gt;=3,Assumptions!$B$29/12,0))</f>
        <v>0</v>
      </c>
      <c r="Z20" s="26">
        <f>Z10*(Z$5*(1-Assumptions!$B$27*Assumptions!$B$28)+IF(Z$3&gt;=3,Assumptions!$B$29/12,0))</f>
        <v>0</v>
      </c>
      <c r="AA20" s="26">
        <f>AA10*(AA$5*(1-Assumptions!$B$27*Assumptions!$B$28)+IF(AA$3&gt;=3,Assumptions!$B$29/12,0))</f>
        <v>0</v>
      </c>
      <c r="AB20" s="26">
        <f>AB10*(AB$5*(1-Assumptions!$B$27*Assumptions!$B$28)+IF(AB$3&gt;=3,Assumptions!$B$29/12,0))</f>
        <v>0</v>
      </c>
      <c r="AC20" s="26">
        <f>AC10*(AC$5*(1-Assumptions!$B$27*Assumptions!$B$28)+IF(AC$3&gt;=3,Assumptions!$B$29/12,0))</f>
        <v>0</v>
      </c>
      <c r="AD20" s="26">
        <f>AD10*(AD$5*(1-Assumptions!$B$27*Assumptions!$B$28)+IF(AD$3&gt;=3,Assumptions!$B$29/12,0))</f>
        <v>0</v>
      </c>
      <c r="AE20" s="26">
        <f>AE10*(AE$5*(1-Assumptions!$B$27*Assumptions!$B$28)+IF(AE$3&gt;=3,Assumptions!$B$29/12,0))</f>
        <v>0</v>
      </c>
      <c r="AF20" s="26">
        <f>AF10*(AF$5*(1-Assumptions!$B$27*Assumptions!$B$28)+IF(AF$3&gt;=3,Assumptions!$B$29/12,0))</f>
        <v>0</v>
      </c>
      <c r="AG20" s="26">
        <f>AG10*(AG$5*(1-Assumptions!$B$27*Assumptions!$B$28)+IF(AG$3&gt;=3,Assumptions!$B$29/12,0))</f>
        <v>0</v>
      </c>
      <c r="AH20" s="26">
        <f>AH10*(AH$5*(1-Assumptions!$B$27*Assumptions!$B$28)+IF(AH$3&gt;=3,Assumptions!$B$29/12,0))</f>
        <v>0</v>
      </c>
      <c r="AI20" s="26">
        <f>AI10*(AI$5*(1-Assumptions!$B$27*Assumptions!$B$28)+IF(AI$3&gt;=3,Assumptions!$B$29/12,0))</f>
        <v>0</v>
      </c>
      <c r="AJ20" s="26">
        <f>AJ10*(AJ$5*(1-Assumptions!$B$27*Assumptions!$B$28)+IF(AJ$3&gt;=3,Assumptions!$B$29/12,0))</f>
        <v>0</v>
      </c>
      <c r="AK20" s="26">
        <f>AK10*(AK$5*(1-Assumptions!$B$27*Assumptions!$B$28)+IF(AK$3&gt;=3,Assumptions!$B$29/12,0))</f>
        <v>0</v>
      </c>
      <c r="AL20" s="26">
        <f>AL10*(AL$5*(1-Assumptions!$B$27*Assumptions!$B$28)+IF(AL$3&gt;=3,Assumptions!$B$29/12,0))</f>
        <v>0</v>
      </c>
      <c r="AM20" s="26">
        <f>AM10*(AM$5*(1-Assumptions!$B$27*Assumptions!$B$28)+IF(AM$3&gt;=3,Assumptions!$B$29/12,0))</f>
        <v>3494.5140542968743</v>
      </c>
      <c r="AN20" s="26">
        <f>AN10*(AN$5*(1-Assumptions!$B$27*Assumptions!$B$28)+IF(AN$3&gt;=3,Assumptions!$B$29/12,0))</f>
        <v>6989.0281085937486</v>
      </c>
      <c r="AO20" s="26">
        <f>AO10*(AO$5*(1-Assumptions!$B$27*Assumptions!$B$28)+IF(AO$3&gt;=3,Assumptions!$B$29/12,0))</f>
        <v>10483.542162890624</v>
      </c>
      <c r="AP20" s="26">
        <f>AP10*(AP$5*(1-Assumptions!$B$27*Assumptions!$B$28)+IF(AP$3&gt;=3,Assumptions!$B$29/12,0))</f>
        <v>13978.056217187497</v>
      </c>
      <c r="AQ20" s="26">
        <f>AQ10*(AQ$5*(1-Assumptions!$B$27*Assumptions!$B$28)+IF(AQ$3&gt;=3,Assumptions!$B$29/12,0))</f>
        <v>17472.570271484372</v>
      </c>
      <c r="AR20" s="26">
        <f>AR10*(AR$5*(1-Assumptions!$B$27*Assumptions!$B$28)+IF(AR$3&gt;=3,Assumptions!$B$29/12,0))</f>
        <v>20967.084325781248</v>
      </c>
      <c r="AS20" s="26">
        <f>AS10*(AS$5*(1-Assumptions!$B$27*Assumptions!$B$28)+IF(AS$3&gt;=3,Assumptions!$B$29/12,0))</f>
        <v>24461.598380078121</v>
      </c>
      <c r="AT20" s="26">
        <f>AT10*(AT$5*(1-Assumptions!$B$27*Assumptions!$B$28)+IF(AT$3&gt;=3,Assumptions!$B$29/12,0))</f>
        <v>27956.112434374994</v>
      </c>
      <c r="AU20" s="26">
        <f>AU10*(AU$5*(1-Assumptions!$B$27*Assumptions!$B$28)+IF(AU$3&gt;=3,Assumptions!$B$29/12,0))</f>
        <v>31450.626488671871</v>
      </c>
      <c r="AV20" s="26">
        <f>AV10*(AV$5*(1-Assumptions!$B$27*Assumptions!$B$28)+IF(AV$3&gt;=3,Assumptions!$B$29/12,0))</f>
        <v>34945.140542968744</v>
      </c>
      <c r="AW20" s="26">
        <f>AW10*(AW$5*(1-Assumptions!$B$27*Assumptions!$B$28)+IF(AW$3&gt;=3,Assumptions!$B$29/12,0))</f>
        <v>38439.654597265617</v>
      </c>
      <c r="AX20" s="26">
        <f>AX10*(AX$5*(1-Assumptions!$B$27*Assumptions!$B$28)+IF(AX$3&gt;=3,Assumptions!$B$29/12,0))</f>
        <v>41934.168651562497</v>
      </c>
      <c r="AY20" s="26">
        <f>AY10*(AY$5*(1-Assumptions!$B$27*Assumptions!$B$28)+IF(AY$3&gt;=3,Assumptions!$B$29/12,0))</f>
        <v>46773.261937035153</v>
      </c>
      <c r="AZ20" s="26">
        <f>AZ10*(AZ$5*(1-Assumptions!$B$27*Assumptions!$B$28)+IF(AZ$3&gt;=3,Assumptions!$B$29/12,0))</f>
        <v>50371.205162960934</v>
      </c>
      <c r="BA20" s="26">
        <f>BA10*(BA$5*(1-Assumptions!$B$27*Assumptions!$B$28)+IF(BA$3&gt;=3,Assumptions!$B$29/12,0))</f>
        <v>53969.148388886715</v>
      </c>
      <c r="BB20" s="26">
        <f>BB10*(BB$5*(1-Assumptions!$B$27*Assumptions!$B$28)+IF(BB$3&gt;=3,Assumptions!$B$29/12,0))</f>
        <v>57567.091614812496</v>
      </c>
      <c r="BC20" s="26">
        <f>BC10*(BC$5*(1-Assumptions!$B$27*Assumptions!$B$28)+IF(BC$3&gt;=3,Assumptions!$B$29/12,0))</f>
        <v>61165.034840738284</v>
      </c>
      <c r="BD20" s="26">
        <f>BD10*(BD$5*(1-Assumptions!$B$27*Assumptions!$B$28)+IF(BD$3&gt;=3,Assumptions!$B$29/12,0))</f>
        <v>64762.978066664058</v>
      </c>
      <c r="BE20" s="26">
        <f>BE10*(BE$5*(1-Assumptions!$B$27*Assumptions!$B$28)+IF(BE$3&gt;=3,Assumptions!$B$29/12,0))</f>
        <v>68360.921292589846</v>
      </c>
      <c r="BF20" s="26">
        <f>BF10*(BF$5*(1-Assumptions!$B$27*Assumptions!$B$28)+IF(BF$3&gt;=3,Assumptions!$B$29/12,0))</f>
        <v>71958.86451851562</v>
      </c>
      <c r="BG20" s="26">
        <f>BG10*(BG$5*(1-Assumptions!$B$27*Assumptions!$B$28)+IF(BG$3&gt;=3,Assumptions!$B$29/12,0))</f>
        <v>75556.807744441408</v>
      </c>
      <c r="BH20" s="26">
        <f>BH10*(BH$5*(1-Assumptions!$B$27*Assumptions!$B$28)+IF(BH$3&gt;=3,Assumptions!$B$29/12,0))</f>
        <v>79154.750970367182</v>
      </c>
      <c r="BI20" s="26">
        <f>BI10*(BI$5*(1-Assumptions!$B$27*Assumptions!$B$28)+IF(BI$3&gt;=3,Assumptions!$B$29/12,0))</f>
        <v>82752.69419629297</v>
      </c>
      <c r="BJ20" s="26">
        <f>BJ10*(BJ$5*(1-Assumptions!$B$27*Assumptions!$B$28)+IF(BJ$3&gt;=3,Assumptions!$B$29/12,0))</f>
        <v>86350.637422218759</v>
      </c>
      <c r="BK20" s="26">
        <f>BK10*(BK$5*(1-Assumptions!$B$27*Assumptions!$B$28)+IF(BK$3&gt;=3,Assumptions!$B$29/12,0))</f>
        <v>92611.881817588845</v>
      </c>
      <c r="BL20" s="26">
        <f>BL10*(BL$5*(1-Assumptions!$B$27*Assumptions!$B$28)+IF(BL$3&gt;=3,Assumptions!$B$29/12,0))</f>
        <v>96316.357090292397</v>
      </c>
      <c r="BM20" s="26">
        <f>BM10*(BM$5*(1-Assumptions!$B$27*Assumptions!$B$28)+IF(BM$3&gt;=3,Assumptions!$B$29/12,0))</f>
        <v>100020.83236299595</v>
      </c>
      <c r="BN20" s="26">
        <f>BN10*(BN$5*(1-Assumptions!$B$27*Assumptions!$B$28)+IF(BN$3&gt;=3,Assumptions!$B$29/12,0))</f>
        <v>103725.3076356995</v>
      </c>
      <c r="BO20" s="26">
        <f>BO10*(BO$5*(1-Assumptions!$B$27*Assumptions!$B$28)+IF(BO$3&gt;=3,Assumptions!$B$29/12,0))</f>
        <v>107429.78290840307</v>
      </c>
      <c r="BP20" s="26">
        <f>BP10*(BP$5*(1-Assumptions!$B$27*Assumptions!$B$28)+IF(BP$3&gt;=3,Assumptions!$B$29/12,0))</f>
        <v>111134.25818110662</v>
      </c>
      <c r="BQ20" s="26">
        <f>BQ10*(BQ$5*(1-Assumptions!$B$27*Assumptions!$B$28)+IF(BQ$3&gt;=3,Assumptions!$B$29/12,0))</f>
        <v>114838.73345381017</v>
      </c>
      <c r="BR20" s="26">
        <f>BR10*(BR$5*(1-Assumptions!$B$27*Assumptions!$B$28)+IF(BR$3&gt;=3,Assumptions!$B$29/12,0))</f>
        <v>118543.20872651372</v>
      </c>
      <c r="BS20" s="26">
        <f>BS10*(BS$5*(1-Assumptions!$B$27*Assumptions!$B$28)+IF(BS$3&gt;=3,Assumptions!$B$29/12,0))</f>
        <v>122247.68399921728</v>
      </c>
      <c r="BT20" s="26">
        <f>BT10*(BT$5*(1-Assumptions!$B$27*Assumptions!$B$28)+IF(BT$3&gt;=3,Assumptions!$B$29/12,0))</f>
        <v>125952.15927192084</v>
      </c>
      <c r="BU20" s="26">
        <f>BU10*(BU$5*(1-Assumptions!$B$27*Assumptions!$B$28)+IF(BU$3&gt;=3,Assumptions!$B$29/12,0))</f>
        <v>129656.63454462438</v>
      </c>
      <c r="BV20" s="26">
        <f>BV10*(BV$5*(1-Assumptions!$B$27*Assumptions!$B$28)+IF(BV$3&gt;=3,Assumptions!$B$29/12,0))</f>
        <v>133361.10981732793</v>
      </c>
      <c r="BW20" s="26">
        <f>BW10*(BW$5*(1-Assumptions!$B$27*Assumptions!$B$28)+IF(BW$3&gt;=3,Assumptions!$B$29/12,0))</f>
        <v>137311.3181118478</v>
      </c>
      <c r="BX20" s="26">
        <f>BX10*(BX$5*(1-Assumptions!$B$27*Assumptions!$B$28)+IF(BX$3&gt;=3,Assumptions!$B$29/12,0))</f>
        <v>137311.3181118478</v>
      </c>
      <c r="BY20" s="26">
        <f>BY10*(BY$5*(1-Assumptions!$B$27*Assumptions!$B$28)+IF(BY$3&gt;=3,Assumptions!$B$29/12,0))</f>
        <v>137311.3181118478</v>
      </c>
      <c r="BZ20" s="26">
        <f>BZ10*(BZ$5*(1-Assumptions!$B$27*Assumptions!$B$28)+IF(BZ$3&gt;=3,Assumptions!$B$29/12,0))</f>
        <v>137311.3181118478</v>
      </c>
      <c r="CA20" s="26">
        <f>CA10*(CA$5*(1-Assumptions!$B$27*Assumptions!$B$28)+IF(CA$3&gt;=3,Assumptions!$B$29/12,0))</f>
        <v>137311.3181118478</v>
      </c>
      <c r="CB20" s="26">
        <f>CB10*(CB$5*(1-Assumptions!$B$27*Assumptions!$B$28)+IF(CB$3&gt;=3,Assumptions!$B$29/12,0))</f>
        <v>137311.3181118478</v>
      </c>
      <c r="CC20" s="26">
        <f>CC10*(CC$5*(1-Assumptions!$B$27*Assumptions!$B$28)+IF(CC$3&gt;=3,Assumptions!$B$29/12,0))</f>
        <v>137311.3181118478</v>
      </c>
      <c r="CD20" s="26">
        <f>CD10*(CD$5*(1-Assumptions!$B$27*Assumptions!$B$28)+IF(CD$3&gt;=3,Assumptions!$B$29/12,0))</f>
        <v>137311.3181118478</v>
      </c>
      <c r="CE20" s="26">
        <f>CE10*(CE$5*(1-Assumptions!$B$27*Assumptions!$B$28)+IF(CE$3&gt;=3,Assumptions!$B$29/12,0))</f>
        <v>137311.3181118478</v>
      </c>
      <c r="CF20" s="26">
        <f>CF10*(CF$5*(1-Assumptions!$B$27*Assumptions!$B$28)+IF(CF$3&gt;=3,Assumptions!$B$29/12,0))</f>
        <v>137311.3181118478</v>
      </c>
      <c r="CG20" s="26">
        <f>CG10*(CG$5*(1-Assumptions!$B$27*Assumptions!$B$28)+IF(CG$3&gt;=3,Assumptions!$B$29/12,0))</f>
        <v>137311.3181118478</v>
      </c>
      <c r="CH20" s="26">
        <f>CH10*(CH$5*(1-Assumptions!$B$27*Assumptions!$B$28)+IF(CH$3&gt;=3,Assumptions!$B$29/12,0))</f>
        <v>137311.3181118478</v>
      </c>
      <c r="CI20" s="26">
        <f>CI10*(CI$5*(1-Assumptions!$B$27*Assumptions!$B$28)+IF(CI$3&gt;=3,Assumptions!$B$29/12,0))</f>
        <v>141380.03265520322</v>
      </c>
      <c r="CJ20" s="26">
        <f>CJ10*(CJ$5*(1-Assumptions!$B$27*Assumptions!$B$28)+IF(CJ$3&gt;=3,Assumptions!$B$29/12,0))</f>
        <v>141380.03265520322</v>
      </c>
      <c r="CK20" s="26">
        <f>CK10*(CK$5*(1-Assumptions!$B$27*Assumptions!$B$28)+IF(CK$3&gt;=3,Assumptions!$B$29/12,0))</f>
        <v>141380.03265520322</v>
      </c>
      <c r="CL20" s="26">
        <f>CL10*(CL$5*(1-Assumptions!$B$27*Assumptions!$B$28)+IF(CL$3&gt;=3,Assumptions!$B$29/12,0))</f>
        <v>141380.03265520322</v>
      </c>
      <c r="CM20" s="26">
        <f>CM10*(CM$5*(1-Assumptions!$B$27*Assumptions!$B$28)+IF(CM$3&gt;=3,Assumptions!$B$29/12,0))</f>
        <v>141380.03265520322</v>
      </c>
      <c r="CN20" s="26">
        <f>CN10*(CN$5*(1-Assumptions!$B$27*Assumptions!$B$28)+IF(CN$3&gt;=3,Assumptions!$B$29/12,0))</f>
        <v>141380.03265520322</v>
      </c>
      <c r="CO20" s="26">
        <f>CO10*(CO$5*(1-Assumptions!$B$27*Assumptions!$B$28)+IF(CO$3&gt;=3,Assumptions!$B$29/12,0))</f>
        <v>141380.03265520322</v>
      </c>
      <c r="CP20" s="26">
        <f>CP10*(CP$5*(1-Assumptions!$B$27*Assumptions!$B$28)+IF(CP$3&gt;=3,Assumptions!$B$29/12,0))</f>
        <v>141380.03265520322</v>
      </c>
      <c r="CQ20" s="26">
        <f>CQ10*(CQ$5*(1-Assumptions!$B$27*Assumptions!$B$28)+IF(CQ$3&gt;=3,Assumptions!$B$29/12,0))</f>
        <v>141380.03265520322</v>
      </c>
      <c r="CR20" s="26">
        <f>CR10*(CR$5*(1-Assumptions!$B$27*Assumptions!$B$28)+IF(CR$3&gt;=3,Assumptions!$B$29/12,0))</f>
        <v>141380.03265520322</v>
      </c>
      <c r="CS20" s="26">
        <f>CS10*(CS$5*(1-Assumptions!$B$27*Assumptions!$B$28)+IF(CS$3&gt;=3,Assumptions!$B$29/12,0))</f>
        <v>141380.03265520322</v>
      </c>
      <c r="CT20" s="26">
        <f>CT10*(CT$5*(1-Assumptions!$B$27*Assumptions!$B$28)+IF(CT$3&gt;=3,Assumptions!$B$29/12,0))</f>
        <v>141380.03265520322</v>
      </c>
      <c r="CU20" s="26">
        <f>CU10*(CU$5*(1-Assumptions!$B$27*Assumptions!$B$28)+IF(CU$3&gt;=3,Assumptions!$B$29/12,0))</f>
        <v>145570.80863485934</v>
      </c>
      <c r="CV20" s="26">
        <f>CV10*(CV$5*(1-Assumptions!$B$27*Assumptions!$B$28)+IF(CV$3&gt;=3,Assumptions!$B$29/12,0))</f>
        <v>145570.80863485934</v>
      </c>
      <c r="CW20" s="26">
        <f>CW10*(CW$5*(1-Assumptions!$B$27*Assumptions!$B$28)+IF(CW$3&gt;=3,Assumptions!$B$29/12,0))</f>
        <v>145570.80863485934</v>
      </c>
      <c r="CX20" s="26">
        <f>CX10*(CX$5*(1-Assumptions!$B$27*Assumptions!$B$28)+IF(CX$3&gt;=3,Assumptions!$B$29/12,0))</f>
        <v>145570.80863485934</v>
      </c>
      <c r="CY20" s="26">
        <f>CY10*(CY$5*(1-Assumptions!$B$27*Assumptions!$B$28)+IF(CY$3&gt;=3,Assumptions!$B$29/12,0))</f>
        <v>145570.80863485934</v>
      </c>
      <c r="CZ20" s="26">
        <f>CZ10*(CZ$5*(1-Assumptions!$B$27*Assumptions!$B$28)+IF(CZ$3&gt;=3,Assumptions!$B$29/12,0))</f>
        <v>145570.80863485934</v>
      </c>
      <c r="DA20" s="26">
        <f>DA10*(DA$5*(1-Assumptions!$B$27*Assumptions!$B$28)+IF(DA$3&gt;=3,Assumptions!$B$29/12,0))</f>
        <v>145570.80863485934</v>
      </c>
      <c r="DB20" s="26">
        <f>DB10*(DB$5*(1-Assumptions!$B$27*Assumptions!$B$28)+IF(DB$3&gt;=3,Assumptions!$B$29/12,0))</f>
        <v>145570.80863485934</v>
      </c>
      <c r="DC20" s="26">
        <f>DC10*(DC$5*(1-Assumptions!$B$27*Assumptions!$B$28)+IF(DC$3&gt;=3,Assumptions!$B$29/12,0))</f>
        <v>145570.80863485934</v>
      </c>
      <c r="DD20" s="26">
        <f>DD10*(DD$5*(1-Assumptions!$B$27*Assumptions!$B$28)+IF(DD$3&gt;=3,Assumptions!$B$29/12,0))</f>
        <v>145570.80863485934</v>
      </c>
      <c r="DE20" s="26">
        <f>DE10*(DE$5*(1-Assumptions!$B$27*Assumptions!$B$28)+IF(DE$3&gt;=3,Assumptions!$B$29/12,0))</f>
        <v>145570.80863485934</v>
      </c>
      <c r="DF20" s="26">
        <f>DF10*(DF$5*(1-Assumptions!$B$27*Assumptions!$B$28)+IF(DF$3&gt;=3,Assumptions!$B$29/12,0))</f>
        <v>145570.80863485934</v>
      </c>
      <c r="DG20" s="26">
        <f>DG10*(DG$5*(1-Assumptions!$B$27*Assumptions!$B$28)+IF(DG$3&gt;=3,Assumptions!$B$29/12,0))</f>
        <v>149887.30789390512</v>
      </c>
      <c r="DH20" s="26">
        <f>DH10*(DH$5*(1-Assumptions!$B$27*Assumptions!$B$28)+IF(DH$3&gt;=3,Assumptions!$B$29/12,0))</f>
        <v>149887.30789390512</v>
      </c>
      <c r="DI20" s="26">
        <f>DI10*(DI$5*(1-Assumptions!$B$27*Assumptions!$B$28)+IF(DI$3&gt;=3,Assumptions!$B$29/12,0))</f>
        <v>149887.30789390512</v>
      </c>
      <c r="DJ20" s="26">
        <f>DJ10*(DJ$5*(1-Assumptions!$B$27*Assumptions!$B$28)+IF(DJ$3&gt;=3,Assumptions!$B$29/12,0))</f>
        <v>149887.30789390512</v>
      </c>
      <c r="DK20" s="26">
        <f>DK10*(DK$5*(1-Assumptions!$B$27*Assumptions!$B$28)+IF(DK$3&gt;=3,Assumptions!$B$29/12,0))</f>
        <v>149887.30789390512</v>
      </c>
      <c r="DL20" s="26">
        <f>DL10*(DL$5*(1-Assumptions!$B$27*Assumptions!$B$28)+IF(DL$3&gt;=3,Assumptions!$B$29/12,0))</f>
        <v>149887.30789390512</v>
      </c>
      <c r="DM20" s="26">
        <f>DM10*(DM$5*(1-Assumptions!$B$27*Assumptions!$B$28)+IF(DM$3&gt;=3,Assumptions!$B$29/12,0))</f>
        <v>149887.30789390512</v>
      </c>
      <c r="DN20" s="26">
        <f>DN10*(DN$5*(1-Assumptions!$B$27*Assumptions!$B$28)+IF(DN$3&gt;=3,Assumptions!$B$29/12,0))</f>
        <v>149887.30789390512</v>
      </c>
      <c r="DO20" s="26">
        <f>DO10*(DO$5*(1-Assumptions!$B$27*Assumptions!$B$28)+IF(DO$3&gt;=3,Assumptions!$B$29/12,0))</f>
        <v>149887.30789390512</v>
      </c>
      <c r="DP20" s="26">
        <f>DP10*(DP$5*(1-Assumptions!$B$27*Assumptions!$B$28)+IF(DP$3&gt;=3,Assumptions!$B$29/12,0))</f>
        <v>149887.30789390512</v>
      </c>
      <c r="DQ20" s="26">
        <f>DQ10*(DQ$5*(1-Assumptions!$B$27*Assumptions!$B$28)+IF(DQ$3&gt;=3,Assumptions!$B$29/12,0))</f>
        <v>149887.30789390512</v>
      </c>
      <c r="DR20" s="26">
        <f>DR10*(DR$5*(1-Assumptions!$B$27*Assumptions!$B$28)+IF(DR$3&gt;=3,Assumptions!$B$29/12,0))</f>
        <v>149887.30789390512</v>
      </c>
    </row>
    <row r="21" spans="1:122" x14ac:dyDescent="0.2">
      <c r="A21" s="9" t="s">
        <v>92</v>
      </c>
      <c r="C21" s="26">
        <f>C11*(C$5*(1-Assumptions!$B$27*Assumptions!$B$28)+IF(C$3&gt;=3,Assumptions!$B$29/12,0))</f>
        <v>0</v>
      </c>
      <c r="D21" s="26">
        <f>D11*(D$5*(1-Assumptions!$B$27*Assumptions!$B$28)+IF(D$3&gt;=3,Assumptions!$B$29/12,0))</f>
        <v>0</v>
      </c>
      <c r="E21" s="26">
        <f>E11*(E$5*(1-Assumptions!$B$27*Assumptions!$B$28)+IF(E$3&gt;=3,Assumptions!$B$29/12,0))</f>
        <v>0</v>
      </c>
      <c r="F21" s="26">
        <f>F11*(F$5*(1-Assumptions!$B$27*Assumptions!$B$28)+IF(F$3&gt;=3,Assumptions!$B$29/12,0))</f>
        <v>0</v>
      </c>
      <c r="G21" s="26">
        <f>G11*(G$5*(1-Assumptions!$B$27*Assumptions!$B$28)+IF(G$3&gt;=3,Assumptions!$B$29/12,0))</f>
        <v>0</v>
      </c>
      <c r="H21" s="26">
        <f>H11*(H$5*(1-Assumptions!$B$27*Assumptions!$B$28)+IF(H$3&gt;=3,Assumptions!$B$29/12,0))</f>
        <v>0</v>
      </c>
      <c r="I21" s="26">
        <f>I11*(I$5*(1-Assumptions!$B$27*Assumptions!$B$28)+IF(I$3&gt;=3,Assumptions!$B$29/12,0))</f>
        <v>0</v>
      </c>
      <c r="J21" s="26">
        <f>J11*(J$5*(1-Assumptions!$B$27*Assumptions!$B$28)+IF(J$3&gt;=3,Assumptions!$B$29/12,0))</f>
        <v>0</v>
      </c>
      <c r="K21" s="26">
        <f>K11*(K$5*(1-Assumptions!$B$27*Assumptions!$B$28)+IF(K$3&gt;=3,Assumptions!$B$29/12,0))</f>
        <v>0</v>
      </c>
      <c r="L21" s="26">
        <f>L11*(L$5*(1-Assumptions!$B$27*Assumptions!$B$28)+IF(L$3&gt;=3,Assumptions!$B$29/12,0))</f>
        <v>0</v>
      </c>
      <c r="M21" s="26">
        <f>M11*(M$5*(1-Assumptions!$B$27*Assumptions!$B$28)+IF(M$3&gt;=3,Assumptions!$B$29/12,0))</f>
        <v>0</v>
      </c>
      <c r="N21" s="26">
        <f>N11*(N$5*(1-Assumptions!$B$27*Assumptions!$B$28)+IF(N$3&gt;=3,Assumptions!$B$29/12,0))</f>
        <v>0</v>
      </c>
      <c r="O21" s="26">
        <f>O11*(O$5*(1-Assumptions!$B$27*Assumptions!$B$28)+IF(O$3&gt;=3,Assumptions!$B$29/12,0))</f>
        <v>0</v>
      </c>
      <c r="P21" s="26">
        <f>P11*(P$5*(1-Assumptions!$B$27*Assumptions!$B$28)+IF(P$3&gt;=3,Assumptions!$B$29/12,0))</f>
        <v>0</v>
      </c>
      <c r="Q21" s="26">
        <f>Q11*(Q$5*(1-Assumptions!$B$27*Assumptions!$B$28)+IF(Q$3&gt;=3,Assumptions!$B$29/12,0))</f>
        <v>0</v>
      </c>
      <c r="R21" s="26">
        <f>R11*(R$5*(1-Assumptions!$B$27*Assumptions!$B$28)+IF(R$3&gt;=3,Assumptions!$B$29/12,0))</f>
        <v>0</v>
      </c>
      <c r="S21" s="26">
        <f>S11*(S$5*(1-Assumptions!$B$27*Assumptions!$B$28)+IF(S$3&gt;=3,Assumptions!$B$29/12,0))</f>
        <v>0</v>
      </c>
      <c r="T21" s="26">
        <f>T11*(T$5*(1-Assumptions!$B$27*Assumptions!$B$28)+IF(T$3&gt;=3,Assumptions!$B$29/12,0))</f>
        <v>0</v>
      </c>
      <c r="U21" s="26">
        <f>U11*(U$5*(1-Assumptions!$B$27*Assumptions!$B$28)+IF(U$3&gt;=3,Assumptions!$B$29/12,0))</f>
        <v>0</v>
      </c>
      <c r="V21" s="26">
        <f>V11*(V$5*(1-Assumptions!$B$27*Assumptions!$B$28)+IF(V$3&gt;=3,Assumptions!$B$29/12,0))</f>
        <v>0</v>
      </c>
      <c r="W21" s="26">
        <f>W11*(W$5*(1-Assumptions!$B$27*Assumptions!$B$28)+IF(W$3&gt;=3,Assumptions!$B$29/12,0))</f>
        <v>0</v>
      </c>
      <c r="X21" s="26">
        <f>X11*(X$5*(1-Assumptions!$B$27*Assumptions!$B$28)+IF(X$3&gt;=3,Assumptions!$B$29/12,0))</f>
        <v>0</v>
      </c>
      <c r="Y21" s="26">
        <f>Y11*(Y$5*(1-Assumptions!$B$27*Assumptions!$B$28)+IF(Y$3&gt;=3,Assumptions!$B$29/12,0))</f>
        <v>0</v>
      </c>
      <c r="Z21" s="26">
        <f>Z11*(Z$5*(1-Assumptions!$B$27*Assumptions!$B$28)+IF(Z$3&gt;=3,Assumptions!$B$29/12,0))</f>
        <v>0</v>
      </c>
      <c r="AA21" s="26">
        <f>AA11*(AA$5*(1-Assumptions!$B$27*Assumptions!$B$28)+IF(AA$3&gt;=3,Assumptions!$B$29/12,0))</f>
        <v>0</v>
      </c>
      <c r="AB21" s="26">
        <f>AB11*(AB$5*(1-Assumptions!$B$27*Assumptions!$B$28)+IF(AB$3&gt;=3,Assumptions!$B$29/12,0))</f>
        <v>0</v>
      </c>
      <c r="AC21" s="26">
        <f>AC11*(AC$5*(1-Assumptions!$B$27*Assumptions!$B$28)+IF(AC$3&gt;=3,Assumptions!$B$29/12,0))</f>
        <v>0</v>
      </c>
      <c r="AD21" s="26">
        <f>AD11*(AD$5*(1-Assumptions!$B$27*Assumptions!$B$28)+IF(AD$3&gt;=3,Assumptions!$B$29/12,0))</f>
        <v>0</v>
      </c>
      <c r="AE21" s="26">
        <f>AE11*(AE$5*(1-Assumptions!$B$27*Assumptions!$B$28)+IF(AE$3&gt;=3,Assumptions!$B$29/12,0))</f>
        <v>0</v>
      </c>
      <c r="AF21" s="26">
        <f>AF11*(AF$5*(1-Assumptions!$B$27*Assumptions!$B$28)+IF(AF$3&gt;=3,Assumptions!$B$29/12,0))</f>
        <v>0</v>
      </c>
      <c r="AG21" s="26">
        <f>AG11*(AG$5*(1-Assumptions!$B$27*Assumptions!$B$28)+IF(AG$3&gt;=3,Assumptions!$B$29/12,0))</f>
        <v>0</v>
      </c>
      <c r="AH21" s="26">
        <f>AH11*(AH$5*(1-Assumptions!$B$27*Assumptions!$B$28)+IF(AH$3&gt;=3,Assumptions!$B$29/12,0))</f>
        <v>0</v>
      </c>
      <c r="AI21" s="26">
        <f>AI11*(AI$5*(1-Assumptions!$B$27*Assumptions!$B$28)+IF(AI$3&gt;=3,Assumptions!$B$29/12,0))</f>
        <v>0</v>
      </c>
      <c r="AJ21" s="26">
        <f>AJ11*(AJ$5*(1-Assumptions!$B$27*Assumptions!$B$28)+IF(AJ$3&gt;=3,Assumptions!$B$29/12,0))</f>
        <v>0</v>
      </c>
      <c r="AK21" s="26">
        <f>AK11*(AK$5*(1-Assumptions!$B$27*Assumptions!$B$28)+IF(AK$3&gt;=3,Assumptions!$B$29/12,0))</f>
        <v>0</v>
      </c>
      <c r="AL21" s="26">
        <f>AL11*(AL$5*(1-Assumptions!$B$27*Assumptions!$B$28)+IF(AL$3&gt;=3,Assumptions!$B$29/12,0))</f>
        <v>0</v>
      </c>
      <c r="AM21" s="26">
        <f>AM11*(AM$5*(1-Assumptions!$B$27*Assumptions!$B$28)+IF(AM$3&gt;=3,Assumptions!$B$29/12,0))</f>
        <v>0</v>
      </c>
      <c r="AN21" s="26">
        <f>AN11*(AN$5*(1-Assumptions!$B$27*Assumptions!$B$28)+IF(AN$3&gt;=3,Assumptions!$B$29/12,0))</f>
        <v>0</v>
      </c>
      <c r="AO21" s="26">
        <f>AO11*(AO$5*(1-Assumptions!$B$27*Assumptions!$B$28)+IF(AO$3&gt;=3,Assumptions!$B$29/12,0))</f>
        <v>0</v>
      </c>
      <c r="AP21" s="26">
        <f>AP11*(AP$5*(1-Assumptions!$B$27*Assumptions!$B$28)+IF(AP$3&gt;=3,Assumptions!$B$29/12,0))</f>
        <v>0</v>
      </c>
      <c r="AQ21" s="26">
        <f>AQ11*(AQ$5*(1-Assumptions!$B$27*Assumptions!$B$28)+IF(AQ$3&gt;=3,Assumptions!$B$29/12,0))</f>
        <v>0</v>
      </c>
      <c r="AR21" s="26">
        <f>AR11*(AR$5*(1-Assumptions!$B$27*Assumptions!$B$28)+IF(AR$3&gt;=3,Assumptions!$B$29/12,0))</f>
        <v>0</v>
      </c>
      <c r="AS21" s="26">
        <f>AS11*(AS$5*(1-Assumptions!$B$27*Assumptions!$B$28)+IF(AS$3&gt;=3,Assumptions!$B$29/12,0))</f>
        <v>0</v>
      </c>
      <c r="AT21" s="26">
        <f>AT11*(AT$5*(1-Assumptions!$B$27*Assumptions!$B$28)+IF(AT$3&gt;=3,Assumptions!$B$29/12,0))</f>
        <v>0</v>
      </c>
      <c r="AU21" s="26">
        <f>AU11*(AU$5*(1-Assumptions!$B$27*Assumptions!$B$28)+IF(AU$3&gt;=3,Assumptions!$B$29/12,0))</f>
        <v>0</v>
      </c>
      <c r="AV21" s="26">
        <f>AV11*(AV$5*(1-Assumptions!$B$27*Assumptions!$B$28)+IF(AV$3&gt;=3,Assumptions!$B$29/12,0))</f>
        <v>0</v>
      </c>
      <c r="AW21" s="26">
        <f>AW11*(AW$5*(1-Assumptions!$B$27*Assumptions!$B$28)+IF(AW$3&gt;=3,Assumptions!$B$29/12,0))</f>
        <v>0</v>
      </c>
      <c r="AX21" s="26">
        <f>AX11*(AX$5*(1-Assumptions!$B$27*Assumptions!$B$28)+IF(AX$3&gt;=3,Assumptions!$B$29/12,0))</f>
        <v>0</v>
      </c>
      <c r="AY21" s="26">
        <f>AY11*(AY$5*(1-Assumptions!$B$27*Assumptions!$B$28)+IF(AY$3&gt;=3,Assumptions!$B$29/12,0))</f>
        <v>5996.572043209635</v>
      </c>
      <c r="AZ21" s="26">
        <f>AZ11*(AZ$5*(1-Assumptions!$B$27*Assumptions!$B$28)+IF(AZ$3&gt;=3,Assumptions!$B$29/12,0))</f>
        <v>11993.14408641927</v>
      </c>
      <c r="BA21" s="26">
        <f>BA11*(BA$5*(1-Assumptions!$B$27*Assumptions!$B$28)+IF(BA$3&gt;=3,Assumptions!$B$29/12,0))</f>
        <v>17989.716129628909</v>
      </c>
      <c r="BB21" s="26">
        <f>BB11*(BB$5*(1-Assumptions!$B$27*Assumptions!$B$28)+IF(BB$3&gt;=3,Assumptions!$B$29/12,0))</f>
        <v>23986.28817283854</v>
      </c>
      <c r="BC21" s="26">
        <f>BC11*(BC$5*(1-Assumptions!$B$27*Assumptions!$B$28)+IF(BC$3&gt;=3,Assumptions!$B$29/12,0))</f>
        <v>29982.860216048175</v>
      </c>
      <c r="BD21" s="26">
        <f>BD11*(BD$5*(1-Assumptions!$B$27*Assumptions!$B$28)+IF(BD$3&gt;=3,Assumptions!$B$29/12,0))</f>
        <v>35979.432259257817</v>
      </c>
      <c r="BE21" s="26">
        <f>BE11*(BE$5*(1-Assumptions!$B$27*Assumptions!$B$28)+IF(BE$3&gt;=3,Assumptions!$B$29/12,0))</f>
        <v>41976.004302467445</v>
      </c>
      <c r="BF21" s="26">
        <f>BF11*(BF$5*(1-Assumptions!$B$27*Assumptions!$B$28)+IF(BF$3&gt;=3,Assumptions!$B$29/12,0))</f>
        <v>47972.57634567708</v>
      </c>
      <c r="BG21" s="26">
        <f>BG11*(BG$5*(1-Assumptions!$B$27*Assumptions!$B$28)+IF(BG$3&gt;=3,Assumptions!$B$29/12,0))</f>
        <v>53969.148388886708</v>
      </c>
      <c r="BH21" s="26">
        <f>BH11*(BH$5*(1-Assumptions!$B$27*Assumptions!$B$28)+IF(BH$3&gt;=3,Assumptions!$B$29/12,0))</f>
        <v>59965.72043209635</v>
      </c>
      <c r="BI21" s="26">
        <f>BI11*(BI$5*(1-Assumptions!$B$27*Assumptions!$B$28)+IF(BI$3&gt;=3,Assumptions!$B$29/12,0))</f>
        <v>65962.292475305992</v>
      </c>
      <c r="BJ21" s="26">
        <f>BJ11*(BJ$5*(1-Assumptions!$B$27*Assumptions!$B$28)+IF(BJ$3&gt;=3,Assumptions!$B$29/12,0))</f>
        <v>71958.864518515635</v>
      </c>
      <c r="BK21" s="26">
        <f>BK11*(BK$5*(1-Assumptions!$B$27*Assumptions!$B$28)+IF(BK$3&gt;=3,Assumptions!$B$29/12,0))</f>
        <v>80263.630908577004</v>
      </c>
      <c r="BL21" s="26">
        <f>BL11*(BL$5*(1-Assumptions!$B$27*Assumptions!$B$28)+IF(BL$3&gt;=3,Assumptions!$B$29/12,0))</f>
        <v>86437.756363082925</v>
      </c>
      <c r="BM21" s="26">
        <f>BM11*(BM$5*(1-Assumptions!$B$27*Assumptions!$B$28)+IF(BM$3&gt;=3,Assumptions!$B$29/12,0))</f>
        <v>92611.881817588845</v>
      </c>
      <c r="BN21" s="26">
        <f>BN11*(BN$5*(1-Assumptions!$B$27*Assumptions!$B$28)+IF(BN$3&gt;=3,Assumptions!$B$29/12,0))</f>
        <v>98786.007272094765</v>
      </c>
      <c r="BO21" s="26">
        <f>BO11*(BO$5*(1-Assumptions!$B$27*Assumptions!$B$28)+IF(BO$3&gt;=3,Assumptions!$B$29/12,0))</f>
        <v>104960.1327266007</v>
      </c>
      <c r="BP21" s="26">
        <f>BP11*(BP$5*(1-Assumptions!$B$27*Assumptions!$B$28)+IF(BP$3&gt;=3,Assumptions!$B$29/12,0))</f>
        <v>111134.2581811066</v>
      </c>
      <c r="BQ21" s="26">
        <f>BQ11*(BQ$5*(1-Assumptions!$B$27*Assumptions!$B$28)+IF(BQ$3&gt;=3,Assumptions!$B$29/12,0))</f>
        <v>117308.38363561255</v>
      </c>
      <c r="BR21" s="26">
        <f>BR11*(BR$5*(1-Assumptions!$B$27*Assumptions!$B$28)+IF(BR$3&gt;=3,Assumptions!$B$29/12,0))</f>
        <v>123482.50909011846</v>
      </c>
      <c r="BS21" s="26">
        <f>BS11*(BS$5*(1-Assumptions!$B$27*Assumptions!$B$28)+IF(BS$3&gt;=3,Assumptions!$B$29/12,0))</f>
        <v>129656.63454462438</v>
      </c>
      <c r="BT21" s="26">
        <f>BT11*(BT$5*(1-Assumptions!$B$27*Assumptions!$B$28)+IF(BT$3&gt;=3,Assumptions!$B$29/12,0))</f>
        <v>135830.7599991303</v>
      </c>
      <c r="BU21" s="26">
        <f>BU11*(BU$5*(1-Assumptions!$B$27*Assumptions!$B$28)+IF(BU$3&gt;=3,Assumptions!$B$29/12,0))</f>
        <v>142004.88545363623</v>
      </c>
      <c r="BV21" s="26">
        <f>BV11*(BV$5*(1-Assumptions!$B$27*Assumptions!$B$28)+IF(BV$3&gt;=3,Assumptions!$B$29/12,0))</f>
        <v>148179.01090814217</v>
      </c>
      <c r="BW21" s="26">
        <f>BW11*(BW$5*(1-Assumptions!$B$27*Assumptions!$B$28)+IF(BW$3&gt;=3,Assumptions!$B$29/12,0))</f>
        <v>158925.13670352753</v>
      </c>
      <c r="BX21" s="26">
        <f>BX11*(BX$5*(1-Assumptions!$B$27*Assumptions!$B$28)+IF(BX$3&gt;=3,Assumptions!$B$29/12,0))</f>
        <v>165282.14217166862</v>
      </c>
      <c r="BY21" s="26">
        <f>BY11*(BY$5*(1-Assumptions!$B$27*Assumptions!$B$28)+IF(BY$3&gt;=3,Assumptions!$B$29/12,0))</f>
        <v>171639.14763980973</v>
      </c>
      <c r="BZ21" s="26">
        <f>BZ11*(BZ$5*(1-Assumptions!$B$27*Assumptions!$B$28)+IF(BZ$3&gt;=3,Assumptions!$B$29/12,0))</f>
        <v>177996.15310795084</v>
      </c>
      <c r="CA21" s="26">
        <f>CA11*(CA$5*(1-Assumptions!$B$27*Assumptions!$B$28)+IF(CA$3&gt;=3,Assumptions!$B$29/12,0))</f>
        <v>184353.15857609196</v>
      </c>
      <c r="CB21" s="26">
        <f>CB11*(CB$5*(1-Assumptions!$B$27*Assumptions!$B$28)+IF(CB$3&gt;=3,Assumptions!$B$29/12,0))</f>
        <v>190710.16404423304</v>
      </c>
      <c r="CC21" s="26">
        <f>CC11*(CC$5*(1-Assumptions!$B$27*Assumptions!$B$28)+IF(CC$3&gt;=3,Assumptions!$B$29/12,0))</f>
        <v>197067.16951237412</v>
      </c>
      <c r="CD21" s="26">
        <f>CD11*(CD$5*(1-Assumptions!$B$27*Assumptions!$B$28)+IF(CD$3&gt;=3,Assumptions!$B$29/12,0))</f>
        <v>203424.17498051524</v>
      </c>
      <c r="CE21" s="26">
        <f>CE11*(CE$5*(1-Assumptions!$B$27*Assumptions!$B$28)+IF(CE$3&gt;=3,Assumptions!$B$29/12,0))</f>
        <v>209781.18044865635</v>
      </c>
      <c r="CF21" s="26">
        <f>CF11*(CF$5*(1-Assumptions!$B$27*Assumptions!$B$28)+IF(CF$3&gt;=3,Assumptions!$B$29/12,0))</f>
        <v>216138.18591679746</v>
      </c>
      <c r="CG21" s="26">
        <f>CG11*(CG$5*(1-Assumptions!$B$27*Assumptions!$B$28)+IF(CG$3&gt;=3,Assumptions!$B$29/12,0))</f>
        <v>222495.19138493855</v>
      </c>
      <c r="CH21" s="26">
        <f>CH11*(CH$5*(1-Assumptions!$B$27*Assumptions!$B$28)+IF(CH$3&gt;=3,Assumptions!$B$29/12,0))</f>
        <v>228852.1968530796</v>
      </c>
      <c r="CI21" s="26">
        <f>CI11*(CI$5*(1-Assumptions!$B$27*Assumptions!$B$28)+IF(CI$3&gt;=3,Assumptions!$B$29/12,0))</f>
        <v>235633.38775867203</v>
      </c>
      <c r="CJ21" s="26">
        <f>CJ11*(CJ$5*(1-Assumptions!$B$27*Assumptions!$B$28)+IF(CJ$3&gt;=3,Assumptions!$B$29/12,0))</f>
        <v>235633.38775867203</v>
      </c>
      <c r="CK21" s="26">
        <f>CK11*(CK$5*(1-Assumptions!$B$27*Assumptions!$B$28)+IF(CK$3&gt;=3,Assumptions!$B$29/12,0))</f>
        <v>235633.38775867203</v>
      </c>
      <c r="CL21" s="26">
        <f>CL11*(CL$5*(1-Assumptions!$B$27*Assumptions!$B$28)+IF(CL$3&gt;=3,Assumptions!$B$29/12,0))</f>
        <v>235633.38775867203</v>
      </c>
      <c r="CM21" s="26">
        <f>CM11*(CM$5*(1-Assumptions!$B$27*Assumptions!$B$28)+IF(CM$3&gt;=3,Assumptions!$B$29/12,0))</f>
        <v>235633.38775867203</v>
      </c>
      <c r="CN21" s="26">
        <f>CN11*(CN$5*(1-Assumptions!$B$27*Assumptions!$B$28)+IF(CN$3&gt;=3,Assumptions!$B$29/12,0))</f>
        <v>235633.38775867203</v>
      </c>
      <c r="CO21" s="26">
        <f>CO11*(CO$5*(1-Assumptions!$B$27*Assumptions!$B$28)+IF(CO$3&gt;=3,Assumptions!$B$29/12,0))</f>
        <v>235633.38775867203</v>
      </c>
      <c r="CP21" s="26">
        <f>CP11*(CP$5*(1-Assumptions!$B$27*Assumptions!$B$28)+IF(CP$3&gt;=3,Assumptions!$B$29/12,0))</f>
        <v>235633.38775867203</v>
      </c>
      <c r="CQ21" s="26">
        <f>CQ11*(CQ$5*(1-Assumptions!$B$27*Assumptions!$B$28)+IF(CQ$3&gt;=3,Assumptions!$B$29/12,0))</f>
        <v>235633.38775867203</v>
      </c>
      <c r="CR21" s="26">
        <f>CR11*(CR$5*(1-Assumptions!$B$27*Assumptions!$B$28)+IF(CR$3&gt;=3,Assumptions!$B$29/12,0))</f>
        <v>235633.38775867203</v>
      </c>
      <c r="CS21" s="26">
        <f>CS11*(CS$5*(1-Assumptions!$B$27*Assumptions!$B$28)+IF(CS$3&gt;=3,Assumptions!$B$29/12,0))</f>
        <v>235633.38775867203</v>
      </c>
      <c r="CT21" s="26">
        <f>CT11*(CT$5*(1-Assumptions!$B$27*Assumptions!$B$28)+IF(CT$3&gt;=3,Assumptions!$B$29/12,0))</f>
        <v>235633.38775867203</v>
      </c>
      <c r="CU21" s="26">
        <f>CU11*(CU$5*(1-Assumptions!$B$27*Assumptions!$B$28)+IF(CU$3&gt;=3,Assumptions!$B$29/12,0))</f>
        <v>242618.0143914322</v>
      </c>
      <c r="CV21" s="26">
        <f>CV11*(CV$5*(1-Assumptions!$B$27*Assumptions!$B$28)+IF(CV$3&gt;=3,Assumptions!$B$29/12,0))</f>
        <v>242618.0143914322</v>
      </c>
      <c r="CW21" s="26">
        <f>CW11*(CW$5*(1-Assumptions!$B$27*Assumptions!$B$28)+IF(CW$3&gt;=3,Assumptions!$B$29/12,0))</f>
        <v>242618.0143914322</v>
      </c>
      <c r="CX21" s="26">
        <f>CX11*(CX$5*(1-Assumptions!$B$27*Assumptions!$B$28)+IF(CX$3&gt;=3,Assumptions!$B$29/12,0))</f>
        <v>242618.0143914322</v>
      </c>
      <c r="CY21" s="26">
        <f>CY11*(CY$5*(1-Assumptions!$B$27*Assumptions!$B$28)+IF(CY$3&gt;=3,Assumptions!$B$29/12,0))</f>
        <v>242618.0143914322</v>
      </c>
      <c r="CZ21" s="26">
        <f>CZ11*(CZ$5*(1-Assumptions!$B$27*Assumptions!$B$28)+IF(CZ$3&gt;=3,Assumptions!$B$29/12,0))</f>
        <v>242618.0143914322</v>
      </c>
      <c r="DA21" s="26">
        <f>DA11*(DA$5*(1-Assumptions!$B$27*Assumptions!$B$28)+IF(DA$3&gt;=3,Assumptions!$B$29/12,0))</f>
        <v>242618.0143914322</v>
      </c>
      <c r="DB21" s="26">
        <f>DB11*(DB$5*(1-Assumptions!$B$27*Assumptions!$B$28)+IF(DB$3&gt;=3,Assumptions!$B$29/12,0))</f>
        <v>242618.0143914322</v>
      </c>
      <c r="DC21" s="26">
        <f>DC11*(DC$5*(1-Assumptions!$B$27*Assumptions!$B$28)+IF(DC$3&gt;=3,Assumptions!$B$29/12,0))</f>
        <v>242618.0143914322</v>
      </c>
      <c r="DD21" s="26">
        <f>DD11*(DD$5*(1-Assumptions!$B$27*Assumptions!$B$28)+IF(DD$3&gt;=3,Assumptions!$B$29/12,0))</f>
        <v>242618.0143914322</v>
      </c>
      <c r="DE21" s="26">
        <f>DE11*(DE$5*(1-Assumptions!$B$27*Assumptions!$B$28)+IF(DE$3&gt;=3,Assumptions!$B$29/12,0))</f>
        <v>242618.0143914322</v>
      </c>
      <c r="DF21" s="26">
        <f>DF11*(DF$5*(1-Assumptions!$B$27*Assumptions!$B$28)+IF(DF$3&gt;=3,Assumptions!$B$29/12,0))</f>
        <v>242618.0143914322</v>
      </c>
      <c r="DG21" s="26">
        <f>DG11*(DG$5*(1-Assumptions!$B$27*Assumptions!$B$28)+IF(DG$3&gt;=3,Assumptions!$B$29/12,0))</f>
        <v>249812.17982317519</v>
      </c>
      <c r="DH21" s="26">
        <f>DH11*(DH$5*(1-Assumptions!$B$27*Assumptions!$B$28)+IF(DH$3&gt;=3,Assumptions!$B$29/12,0))</f>
        <v>249812.17982317519</v>
      </c>
      <c r="DI21" s="26">
        <f>DI11*(DI$5*(1-Assumptions!$B$27*Assumptions!$B$28)+IF(DI$3&gt;=3,Assumptions!$B$29/12,0))</f>
        <v>249812.17982317519</v>
      </c>
      <c r="DJ21" s="26">
        <f>DJ11*(DJ$5*(1-Assumptions!$B$27*Assumptions!$B$28)+IF(DJ$3&gt;=3,Assumptions!$B$29/12,0))</f>
        <v>249812.17982317519</v>
      </c>
      <c r="DK21" s="26">
        <f>DK11*(DK$5*(1-Assumptions!$B$27*Assumptions!$B$28)+IF(DK$3&gt;=3,Assumptions!$B$29/12,0))</f>
        <v>249812.17982317519</v>
      </c>
      <c r="DL21" s="26">
        <f>DL11*(DL$5*(1-Assumptions!$B$27*Assumptions!$B$28)+IF(DL$3&gt;=3,Assumptions!$B$29/12,0))</f>
        <v>249812.17982317519</v>
      </c>
      <c r="DM21" s="26">
        <f>DM11*(DM$5*(1-Assumptions!$B$27*Assumptions!$B$28)+IF(DM$3&gt;=3,Assumptions!$B$29/12,0))</f>
        <v>249812.17982317519</v>
      </c>
      <c r="DN21" s="26">
        <f>DN11*(DN$5*(1-Assumptions!$B$27*Assumptions!$B$28)+IF(DN$3&gt;=3,Assumptions!$B$29/12,0))</f>
        <v>249812.17982317519</v>
      </c>
      <c r="DO21" s="26">
        <f>DO11*(DO$5*(1-Assumptions!$B$27*Assumptions!$B$28)+IF(DO$3&gt;=3,Assumptions!$B$29/12,0))</f>
        <v>249812.17982317519</v>
      </c>
      <c r="DP21" s="26">
        <f>DP11*(DP$5*(1-Assumptions!$B$27*Assumptions!$B$28)+IF(DP$3&gt;=3,Assumptions!$B$29/12,0))</f>
        <v>249812.17982317519</v>
      </c>
      <c r="DQ21" s="26">
        <f>DQ11*(DQ$5*(1-Assumptions!$B$27*Assumptions!$B$28)+IF(DQ$3&gt;=3,Assumptions!$B$29/12,0))</f>
        <v>249812.17982317519</v>
      </c>
      <c r="DR21" s="26">
        <f>DR11*(DR$5*(1-Assumptions!$B$27*Assumptions!$B$28)+IF(DR$3&gt;=3,Assumptions!$B$29/12,0))</f>
        <v>249812.17982317519</v>
      </c>
    </row>
    <row r="22" spans="1:122" x14ac:dyDescent="0.2">
      <c r="A22" s="9" t="s">
        <v>93</v>
      </c>
      <c r="C22" s="26">
        <f>C12*(C$5*(1-Assumptions!$B$27*Assumptions!$B$28)+IF(C$3&gt;=3,Assumptions!$B$29/12,0))</f>
        <v>0</v>
      </c>
      <c r="D22" s="26">
        <f>D12*(D$5*(1-Assumptions!$B$27*Assumptions!$B$28)+IF(D$3&gt;=3,Assumptions!$B$29/12,0))</f>
        <v>0</v>
      </c>
      <c r="E22" s="26">
        <f>E12*(E$5*(1-Assumptions!$B$27*Assumptions!$B$28)+IF(E$3&gt;=3,Assumptions!$B$29/12,0))</f>
        <v>0</v>
      </c>
      <c r="F22" s="26">
        <f>F12*(F$5*(1-Assumptions!$B$27*Assumptions!$B$28)+IF(F$3&gt;=3,Assumptions!$B$29/12,0))</f>
        <v>0</v>
      </c>
      <c r="G22" s="26">
        <f>G12*(G$5*(1-Assumptions!$B$27*Assumptions!$B$28)+IF(G$3&gt;=3,Assumptions!$B$29/12,0))</f>
        <v>0</v>
      </c>
      <c r="H22" s="26">
        <f>H12*(H$5*(1-Assumptions!$B$27*Assumptions!$B$28)+IF(H$3&gt;=3,Assumptions!$B$29/12,0))</f>
        <v>0</v>
      </c>
      <c r="I22" s="26">
        <f>I12*(I$5*(1-Assumptions!$B$27*Assumptions!$B$28)+IF(I$3&gt;=3,Assumptions!$B$29/12,0))</f>
        <v>0</v>
      </c>
      <c r="J22" s="26">
        <f>J12*(J$5*(1-Assumptions!$B$27*Assumptions!$B$28)+IF(J$3&gt;=3,Assumptions!$B$29/12,0))</f>
        <v>0</v>
      </c>
      <c r="K22" s="26">
        <f>K12*(K$5*(1-Assumptions!$B$27*Assumptions!$B$28)+IF(K$3&gt;=3,Assumptions!$B$29/12,0))</f>
        <v>0</v>
      </c>
      <c r="L22" s="26">
        <f>L12*(L$5*(1-Assumptions!$B$27*Assumptions!$B$28)+IF(L$3&gt;=3,Assumptions!$B$29/12,0))</f>
        <v>0</v>
      </c>
      <c r="M22" s="26">
        <f>M12*(M$5*(1-Assumptions!$B$27*Assumptions!$B$28)+IF(M$3&gt;=3,Assumptions!$B$29/12,0))</f>
        <v>0</v>
      </c>
      <c r="N22" s="26">
        <f>N12*(N$5*(1-Assumptions!$B$27*Assumptions!$B$28)+IF(N$3&gt;=3,Assumptions!$B$29/12,0))</f>
        <v>0</v>
      </c>
      <c r="O22" s="26">
        <f>O12*(O$5*(1-Assumptions!$B$27*Assumptions!$B$28)+IF(O$3&gt;=3,Assumptions!$B$29/12,0))</f>
        <v>0</v>
      </c>
      <c r="P22" s="26">
        <f>P12*(P$5*(1-Assumptions!$B$27*Assumptions!$B$28)+IF(P$3&gt;=3,Assumptions!$B$29/12,0))</f>
        <v>0</v>
      </c>
      <c r="Q22" s="26">
        <f>Q12*(Q$5*(1-Assumptions!$B$27*Assumptions!$B$28)+IF(Q$3&gt;=3,Assumptions!$B$29/12,0))</f>
        <v>0</v>
      </c>
      <c r="R22" s="26">
        <f>R12*(R$5*(1-Assumptions!$B$27*Assumptions!$B$28)+IF(R$3&gt;=3,Assumptions!$B$29/12,0))</f>
        <v>0</v>
      </c>
      <c r="S22" s="26">
        <f>S12*(S$5*(1-Assumptions!$B$27*Assumptions!$B$28)+IF(S$3&gt;=3,Assumptions!$B$29/12,0))</f>
        <v>0</v>
      </c>
      <c r="T22" s="26">
        <f>T12*(T$5*(1-Assumptions!$B$27*Assumptions!$B$28)+IF(T$3&gt;=3,Assumptions!$B$29/12,0))</f>
        <v>0</v>
      </c>
      <c r="U22" s="26">
        <f>U12*(U$5*(1-Assumptions!$B$27*Assumptions!$B$28)+IF(U$3&gt;=3,Assumptions!$B$29/12,0))</f>
        <v>0</v>
      </c>
      <c r="V22" s="26">
        <f>V12*(V$5*(1-Assumptions!$B$27*Assumptions!$B$28)+IF(V$3&gt;=3,Assumptions!$B$29/12,0))</f>
        <v>0</v>
      </c>
      <c r="W22" s="26">
        <f>W12*(W$5*(1-Assumptions!$B$27*Assumptions!$B$28)+IF(W$3&gt;=3,Assumptions!$B$29/12,0))</f>
        <v>0</v>
      </c>
      <c r="X22" s="26">
        <f>X12*(X$5*(1-Assumptions!$B$27*Assumptions!$B$28)+IF(X$3&gt;=3,Assumptions!$B$29/12,0))</f>
        <v>0</v>
      </c>
      <c r="Y22" s="26">
        <f>Y12*(Y$5*(1-Assumptions!$B$27*Assumptions!$B$28)+IF(Y$3&gt;=3,Assumptions!$B$29/12,0))</f>
        <v>0</v>
      </c>
      <c r="Z22" s="26">
        <f>Z12*(Z$5*(1-Assumptions!$B$27*Assumptions!$B$28)+IF(Z$3&gt;=3,Assumptions!$B$29/12,0))</f>
        <v>0</v>
      </c>
      <c r="AA22" s="26">
        <f>AA12*(AA$5*(1-Assumptions!$B$27*Assumptions!$B$28)+IF(AA$3&gt;=3,Assumptions!$B$29/12,0))</f>
        <v>0</v>
      </c>
      <c r="AB22" s="26">
        <f>AB12*(AB$5*(1-Assumptions!$B$27*Assumptions!$B$28)+IF(AB$3&gt;=3,Assumptions!$B$29/12,0))</f>
        <v>0</v>
      </c>
      <c r="AC22" s="26">
        <f>AC12*(AC$5*(1-Assumptions!$B$27*Assumptions!$B$28)+IF(AC$3&gt;=3,Assumptions!$B$29/12,0))</f>
        <v>0</v>
      </c>
      <c r="AD22" s="26">
        <f>AD12*(AD$5*(1-Assumptions!$B$27*Assumptions!$B$28)+IF(AD$3&gt;=3,Assumptions!$B$29/12,0))</f>
        <v>0</v>
      </c>
      <c r="AE22" s="26">
        <f>AE12*(AE$5*(1-Assumptions!$B$27*Assumptions!$B$28)+IF(AE$3&gt;=3,Assumptions!$B$29/12,0))</f>
        <v>0</v>
      </c>
      <c r="AF22" s="26">
        <f>AF12*(AF$5*(1-Assumptions!$B$27*Assumptions!$B$28)+IF(AF$3&gt;=3,Assumptions!$B$29/12,0))</f>
        <v>0</v>
      </c>
      <c r="AG22" s="26">
        <f>AG12*(AG$5*(1-Assumptions!$B$27*Assumptions!$B$28)+IF(AG$3&gt;=3,Assumptions!$B$29/12,0))</f>
        <v>0</v>
      </c>
      <c r="AH22" s="26">
        <f>AH12*(AH$5*(1-Assumptions!$B$27*Assumptions!$B$28)+IF(AH$3&gt;=3,Assumptions!$B$29/12,0))</f>
        <v>0</v>
      </c>
      <c r="AI22" s="26">
        <f>AI12*(AI$5*(1-Assumptions!$B$27*Assumptions!$B$28)+IF(AI$3&gt;=3,Assumptions!$B$29/12,0))</f>
        <v>0</v>
      </c>
      <c r="AJ22" s="26">
        <f>AJ12*(AJ$5*(1-Assumptions!$B$27*Assumptions!$B$28)+IF(AJ$3&gt;=3,Assumptions!$B$29/12,0))</f>
        <v>0</v>
      </c>
      <c r="AK22" s="26">
        <f>AK12*(AK$5*(1-Assumptions!$B$27*Assumptions!$B$28)+IF(AK$3&gt;=3,Assumptions!$B$29/12,0))</f>
        <v>0</v>
      </c>
      <c r="AL22" s="26">
        <f>AL12*(AL$5*(1-Assumptions!$B$27*Assumptions!$B$28)+IF(AL$3&gt;=3,Assumptions!$B$29/12,0))</f>
        <v>0</v>
      </c>
      <c r="AM22" s="26">
        <f>AM12*(AM$5*(1-Assumptions!$B$27*Assumptions!$B$28)+IF(AM$3&gt;=3,Assumptions!$B$29/12,0))</f>
        <v>0</v>
      </c>
      <c r="AN22" s="26">
        <f>AN12*(AN$5*(1-Assumptions!$B$27*Assumptions!$B$28)+IF(AN$3&gt;=3,Assumptions!$B$29/12,0))</f>
        <v>0</v>
      </c>
      <c r="AO22" s="26">
        <f>AO12*(AO$5*(1-Assumptions!$B$27*Assumptions!$B$28)+IF(AO$3&gt;=3,Assumptions!$B$29/12,0))</f>
        <v>0</v>
      </c>
      <c r="AP22" s="26">
        <f>AP12*(AP$5*(1-Assumptions!$B$27*Assumptions!$B$28)+IF(AP$3&gt;=3,Assumptions!$B$29/12,0))</f>
        <v>0</v>
      </c>
      <c r="AQ22" s="26">
        <f>AQ12*(AQ$5*(1-Assumptions!$B$27*Assumptions!$B$28)+IF(AQ$3&gt;=3,Assumptions!$B$29/12,0))</f>
        <v>0</v>
      </c>
      <c r="AR22" s="26">
        <f>AR12*(AR$5*(1-Assumptions!$B$27*Assumptions!$B$28)+IF(AR$3&gt;=3,Assumptions!$B$29/12,0))</f>
        <v>0</v>
      </c>
      <c r="AS22" s="26">
        <f>AS12*(AS$5*(1-Assumptions!$B$27*Assumptions!$B$28)+IF(AS$3&gt;=3,Assumptions!$B$29/12,0))</f>
        <v>0</v>
      </c>
      <c r="AT22" s="26">
        <f>AT12*(AT$5*(1-Assumptions!$B$27*Assumptions!$B$28)+IF(AT$3&gt;=3,Assumptions!$B$29/12,0))</f>
        <v>0</v>
      </c>
      <c r="AU22" s="26">
        <f>AU12*(AU$5*(1-Assumptions!$B$27*Assumptions!$B$28)+IF(AU$3&gt;=3,Assumptions!$B$29/12,0))</f>
        <v>0</v>
      </c>
      <c r="AV22" s="26">
        <f>AV12*(AV$5*(1-Assumptions!$B$27*Assumptions!$B$28)+IF(AV$3&gt;=3,Assumptions!$B$29/12,0))</f>
        <v>0</v>
      </c>
      <c r="AW22" s="26">
        <f>AW12*(AW$5*(1-Assumptions!$B$27*Assumptions!$B$28)+IF(AW$3&gt;=3,Assumptions!$B$29/12,0))</f>
        <v>0</v>
      </c>
      <c r="AX22" s="26">
        <f>AX12*(AX$5*(1-Assumptions!$B$27*Assumptions!$B$28)+IF(AX$3&gt;=3,Assumptions!$B$29/12,0))</f>
        <v>0</v>
      </c>
      <c r="AY22" s="26">
        <f>AY12*(AY$5*(1-Assumptions!$B$27*Assumptions!$B$28)+IF(AY$3&gt;=3,Assumptions!$B$29/12,0))</f>
        <v>0</v>
      </c>
      <c r="AZ22" s="26">
        <f>AZ12*(AZ$5*(1-Assumptions!$B$27*Assumptions!$B$28)+IF(AZ$3&gt;=3,Assumptions!$B$29/12,0))</f>
        <v>0</v>
      </c>
      <c r="BA22" s="26">
        <f>BA12*(BA$5*(1-Assumptions!$B$27*Assumptions!$B$28)+IF(BA$3&gt;=3,Assumptions!$B$29/12,0))</f>
        <v>0</v>
      </c>
      <c r="BB22" s="26">
        <f>BB12*(BB$5*(1-Assumptions!$B$27*Assumptions!$B$28)+IF(BB$3&gt;=3,Assumptions!$B$29/12,0))</f>
        <v>0</v>
      </c>
      <c r="BC22" s="26">
        <f>BC12*(BC$5*(1-Assumptions!$B$27*Assumptions!$B$28)+IF(BC$3&gt;=3,Assumptions!$B$29/12,0))</f>
        <v>0</v>
      </c>
      <c r="BD22" s="26">
        <f>BD12*(BD$5*(1-Assumptions!$B$27*Assumptions!$B$28)+IF(BD$3&gt;=3,Assumptions!$B$29/12,0))</f>
        <v>0</v>
      </c>
      <c r="BE22" s="26">
        <f>BE12*(BE$5*(1-Assumptions!$B$27*Assumptions!$B$28)+IF(BE$3&gt;=3,Assumptions!$B$29/12,0))</f>
        <v>0</v>
      </c>
      <c r="BF22" s="26">
        <f>BF12*(BF$5*(1-Assumptions!$B$27*Assumptions!$B$28)+IF(BF$3&gt;=3,Assumptions!$B$29/12,0))</f>
        <v>0</v>
      </c>
      <c r="BG22" s="26">
        <f>BG12*(BG$5*(1-Assumptions!$B$27*Assumptions!$B$28)+IF(BG$3&gt;=3,Assumptions!$B$29/12,0))</f>
        <v>0</v>
      </c>
      <c r="BH22" s="26">
        <f>BH12*(BH$5*(1-Assumptions!$B$27*Assumptions!$B$28)+IF(BH$3&gt;=3,Assumptions!$B$29/12,0))</f>
        <v>0</v>
      </c>
      <c r="BI22" s="26">
        <f>BI12*(BI$5*(1-Assumptions!$B$27*Assumptions!$B$28)+IF(BI$3&gt;=3,Assumptions!$B$29/12,0))</f>
        <v>0</v>
      </c>
      <c r="BJ22" s="26">
        <f>BJ12*(BJ$5*(1-Assumptions!$B$27*Assumptions!$B$28)+IF(BJ$3&gt;=3,Assumptions!$B$29/12,0))</f>
        <v>0</v>
      </c>
      <c r="BK22" s="26">
        <f>BK12*(BK$5*(1-Assumptions!$B$27*Assumptions!$B$28)+IF(BK$3&gt;=3,Assumptions!$B$29/12,0))</f>
        <v>6174.1254545059228</v>
      </c>
      <c r="BL22" s="26">
        <f>BL12*(BL$5*(1-Assumptions!$B$27*Assumptions!$B$28)+IF(BL$3&gt;=3,Assumptions!$B$29/12,0))</f>
        <v>12348.250909011846</v>
      </c>
      <c r="BM22" s="26">
        <f>BM12*(BM$5*(1-Assumptions!$B$27*Assumptions!$B$28)+IF(BM$3&gt;=3,Assumptions!$B$29/12,0))</f>
        <v>18522.376363517771</v>
      </c>
      <c r="BN22" s="26">
        <f>BN12*(BN$5*(1-Assumptions!$B$27*Assumptions!$B$28)+IF(BN$3&gt;=3,Assumptions!$B$29/12,0))</f>
        <v>24696.501818023691</v>
      </c>
      <c r="BO22" s="26">
        <f>BO12*(BO$5*(1-Assumptions!$B$27*Assumptions!$B$28)+IF(BO$3&gt;=3,Assumptions!$B$29/12,0))</f>
        <v>30870.627272529615</v>
      </c>
      <c r="BP22" s="26">
        <f>BP12*(BP$5*(1-Assumptions!$B$27*Assumptions!$B$28)+IF(BP$3&gt;=3,Assumptions!$B$29/12,0))</f>
        <v>37044.752727035542</v>
      </c>
      <c r="BQ22" s="26">
        <f>BQ12*(BQ$5*(1-Assumptions!$B$27*Assumptions!$B$28)+IF(BQ$3&gt;=3,Assumptions!$B$29/12,0))</f>
        <v>43218.878181541462</v>
      </c>
      <c r="BR22" s="26">
        <f>BR12*(BR$5*(1-Assumptions!$B$27*Assumptions!$B$28)+IF(BR$3&gt;=3,Assumptions!$B$29/12,0))</f>
        <v>49393.003636047382</v>
      </c>
      <c r="BS22" s="26">
        <f>BS12*(BS$5*(1-Assumptions!$B$27*Assumptions!$B$28)+IF(BS$3&gt;=3,Assumptions!$B$29/12,0))</f>
        <v>55567.129090553302</v>
      </c>
      <c r="BT22" s="26">
        <f>BT12*(BT$5*(1-Assumptions!$B$27*Assumptions!$B$28)+IF(BT$3&gt;=3,Assumptions!$B$29/12,0))</f>
        <v>61741.25454505923</v>
      </c>
      <c r="BU22" s="26">
        <f>BU12*(BU$5*(1-Assumptions!$B$27*Assumptions!$B$28)+IF(BU$3&gt;=3,Assumptions!$B$29/12,0))</f>
        <v>67915.37999956515</v>
      </c>
      <c r="BV22" s="26">
        <f>BV12*(BV$5*(1-Assumptions!$B$27*Assumptions!$B$28)+IF(BV$3&gt;=3,Assumptions!$B$29/12,0))</f>
        <v>74089.505454071084</v>
      </c>
      <c r="BW22" s="26">
        <f>BW12*(BW$5*(1-Assumptions!$B$27*Assumptions!$B$28)+IF(BW$3&gt;=3,Assumptions!$B$29/12,0))</f>
        <v>82641.071085834308</v>
      </c>
      <c r="BX22" s="26">
        <f>BX12*(BX$5*(1-Assumptions!$B$27*Assumptions!$B$28)+IF(BX$3&gt;=3,Assumptions!$B$29/12,0))</f>
        <v>88998.076553975421</v>
      </c>
      <c r="BY22" s="26">
        <f>BY12*(BY$5*(1-Assumptions!$B$27*Assumptions!$B$28)+IF(BY$3&gt;=3,Assumptions!$B$29/12,0))</f>
        <v>95355.08202211652</v>
      </c>
      <c r="BZ22" s="26">
        <f>BZ12*(BZ$5*(1-Assumptions!$B$27*Assumptions!$B$28)+IF(BZ$3&gt;=3,Assumptions!$B$29/12,0))</f>
        <v>101712.08749025762</v>
      </c>
      <c r="CA22" s="26">
        <f>CA12*(CA$5*(1-Assumptions!$B$27*Assumptions!$B$28)+IF(CA$3&gt;=3,Assumptions!$B$29/12,0))</f>
        <v>108069.09295839873</v>
      </c>
      <c r="CB22" s="26">
        <f>CB12*(CB$5*(1-Assumptions!$B$27*Assumptions!$B$28)+IF(CB$3&gt;=3,Assumptions!$B$29/12,0))</f>
        <v>114426.0984265398</v>
      </c>
      <c r="CC22" s="26">
        <f>CC12*(CC$5*(1-Assumptions!$B$27*Assumptions!$B$28)+IF(CC$3&gt;=3,Assumptions!$B$29/12,0))</f>
        <v>120783.10389468094</v>
      </c>
      <c r="CD22" s="26">
        <f>CD12*(CD$5*(1-Assumptions!$B$27*Assumptions!$B$28)+IF(CD$3&gt;=3,Assumptions!$B$29/12,0))</f>
        <v>127140.10936282203</v>
      </c>
      <c r="CE22" s="26">
        <f>CE12*(CE$5*(1-Assumptions!$B$27*Assumptions!$B$28)+IF(CE$3&gt;=3,Assumptions!$B$29/12,0))</f>
        <v>133497.11483096314</v>
      </c>
      <c r="CF22" s="26">
        <f>CF12*(CF$5*(1-Assumptions!$B$27*Assumptions!$B$28)+IF(CF$3&gt;=3,Assumptions!$B$29/12,0))</f>
        <v>139854.12029910422</v>
      </c>
      <c r="CG22" s="26">
        <f>CG12*(CG$5*(1-Assumptions!$B$27*Assumptions!$B$28)+IF(CG$3&gt;=3,Assumptions!$B$29/12,0))</f>
        <v>146211.12576724534</v>
      </c>
      <c r="CH22" s="26">
        <f>CH12*(CH$5*(1-Assumptions!$B$27*Assumptions!$B$28)+IF(CH$3&gt;=3,Assumptions!$B$29/12,0))</f>
        <v>152568.13123538645</v>
      </c>
      <c r="CI22" s="26">
        <f>CI12*(CI$5*(1-Assumptions!$B$27*Assumptions!$B$28)+IF(CI$3&gt;=3,Assumptions!$B$29/12,0))</f>
        <v>163634.29705463335</v>
      </c>
      <c r="CJ22" s="26">
        <f>CJ12*(CJ$5*(1-Assumptions!$B$27*Assumptions!$B$28)+IF(CJ$3&gt;=3,Assumptions!$B$29/12,0))</f>
        <v>170179.66893681869</v>
      </c>
      <c r="CK22" s="26">
        <f>CK12*(CK$5*(1-Assumptions!$B$27*Assumptions!$B$28)+IF(CK$3&gt;=3,Assumptions!$B$29/12,0))</f>
        <v>176725.04081900403</v>
      </c>
      <c r="CL22" s="26">
        <f>CL12*(CL$5*(1-Assumptions!$B$27*Assumptions!$B$28)+IF(CL$3&gt;=3,Assumptions!$B$29/12,0))</f>
        <v>183270.41270118937</v>
      </c>
      <c r="CM22" s="26">
        <f>CM12*(CM$5*(1-Assumptions!$B$27*Assumptions!$B$28)+IF(CM$3&gt;=3,Assumptions!$B$29/12,0))</f>
        <v>189815.78458337471</v>
      </c>
      <c r="CN22" s="26">
        <f>CN12*(CN$5*(1-Assumptions!$B$27*Assumptions!$B$28)+IF(CN$3&gt;=3,Assumptions!$B$29/12,0))</f>
        <v>196361.15646556002</v>
      </c>
      <c r="CO22" s="26">
        <f>CO12*(CO$5*(1-Assumptions!$B$27*Assumptions!$B$28)+IF(CO$3&gt;=3,Assumptions!$B$29/12,0))</f>
        <v>202906.52834774536</v>
      </c>
      <c r="CP22" s="26">
        <f>CP12*(CP$5*(1-Assumptions!$B$27*Assumptions!$B$28)+IF(CP$3&gt;=3,Assumptions!$B$29/12,0))</f>
        <v>209451.9002299307</v>
      </c>
      <c r="CQ22" s="26">
        <f>CQ12*(CQ$5*(1-Assumptions!$B$27*Assumptions!$B$28)+IF(CQ$3&gt;=3,Assumptions!$B$29/12,0))</f>
        <v>215997.27211211604</v>
      </c>
      <c r="CR22" s="26">
        <f>CR12*(CR$5*(1-Assumptions!$B$27*Assumptions!$B$28)+IF(CR$3&gt;=3,Assumptions!$B$29/12,0))</f>
        <v>222542.64399430141</v>
      </c>
      <c r="CS22" s="26">
        <f>CS12*(CS$5*(1-Assumptions!$B$27*Assumptions!$B$28)+IF(CS$3&gt;=3,Assumptions!$B$29/12,0))</f>
        <v>229088.01587648669</v>
      </c>
      <c r="CT22" s="26">
        <f>CT12*(CT$5*(1-Assumptions!$B$27*Assumptions!$B$28)+IF(CT$3&gt;=3,Assumptions!$B$29/12,0))</f>
        <v>235633.387758672</v>
      </c>
      <c r="CU22" s="26">
        <f>CU12*(CU$5*(1-Assumptions!$B$27*Assumptions!$B$28)+IF(CU$3&gt;=3,Assumptions!$B$29/12,0))</f>
        <v>242618.0143914322</v>
      </c>
      <c r="CV22" s="26">
        <f>CV12*(CV$5*(1-Assumptions!$B$27*Assumptions!$B$28)+IF(CV$3&gt;=3,Assumptions!$B$29/12,0))</f>
        <v>242618.0143914322</v>
      </c>
      <c r="CW22" s="26">
        <f>CW12*(CW$5*(1-Assumptions!$B$27*Assumptions!$B$28)+IF(CW$3&gt;=3,Assumptions!$B$29/12,0))</f>
        <v>242618.0143914322</v>
      </c>
      <c r="CX22" s="26">
        <f>CX12*(CX$5*(1-Assumptions!$B$27*Assumptions!$B$28)+IF(CX$3&gt;=3,Assumptions!$B$29/12,0))</f>
        <v>242618.0143914322</v>
      </c>
      <c r="CY22" s="26">
        <f>CY12*(CY$5*(1-Assumptions!$B$27*Assumptions!$B$28)+IF(CY$3&gt;=3,Assumptions!$B$29/12,0))</f>
        <v>242618.0143914322</v>
      </c>
      <c r="CZ22" s="26">
        <f>CZ12*(CZ$5*(1-Assumptions!$B$27*Assumptions!$B$28)+IF(CZ$3&gt;=3,Assumptions!$B$29/12,0))</f>
        <v>242618.0143914322</v>
      </c>
      <c r="DA22" s="26">
        <f>DA12*(DA$5*(1-Assumptions!$B$27*Assumptions!$B$28)+IF(DA$3&gt;=3,Assumptions!$B$29/12,0))</f>
        <v>242618.0143914322</v>
      </c>
      <c r="DB22" s="26">
        <f>DB12*(DB$5*(1-Assumptions!$B$27*Assumptions!$B$28)+IF(DB$3&gt;=3,Assumptions!$B$29/12,0))</f>
        <v>242618.0143914322</v>
      </c>
      <c r="DC22" s="26">
        <f>DC12*(DC$5*(1-Assumptions!$B$27*Assumptions!$B$28)+IF(DC$3&gt;=3,Assumptions!$B$29/12,0))</f>
        <v>242618.0143914322</v>
      </c>
      <c r="DD22" s="26">
        <f>DD12*(DD$5*(1-Assumptions!$B$27*Assumptions!$B$28)+IF(DD$3&gt;=3,Assumptions!$B$29/12,0))</f>
        <v>242618.0143914322</v>
      </c>
      <c r="DE22" s="26">
        <f>DE12*(DE$5*(1-Assumptions!$B$27*Assumptions!$B$28)+IF(DE$3&gt;=3,Assumptions!$B$29/12,0))</f>
        <v>242618.0143914322</v>
      </c>
      <c r="DF22" s="26">
        <f>DF12*(DF$5*(1-Assumptions!$B$27*Assumptions!$B$28)+IF(DF$3&gt;=3,Assumptions!$B$29/12,0))</f>
        <v>242618.0143914322</v>
      </c>
      <c r="DG22" s="26">
        <f>DG12*(DG$5*(1-Assumptions!$B$27*Assumptions!$B$28)+IF(DG$3&gt;=3,Assumptions!$B$29/12,0))</f>
        <v>249812.17982317519</v>
      </c>
      <c r="DH22" s="26">
        <f>DH12*(DH$5*(1-Assumptions!$B$27*Assumptions!$B$28)+IF(DH$3&gt;=3,Assumptions!$B$29/12,0))</f>
        <v>249812.17982317519</v>
      </c>
      <c r="DI22" s="26">
        <f>DI12*(DI$5*(1-Assumptions!$B$27*Assumptions!$B$28)+IF(DI$3&gt;=3,Assumptions!$B$29/12,0))</f>
        <v>249812.17982317519</v>
      </c>
      <c r="DJ22" s="26">
        <f>DJ12*(DJ$5*(1-Assumptions!$B$27*Assumptions!$B$28)+IF(DJ$3&gt;=3,Assumptions!$B$29/12,0))</f>
        <v>249812.17982317519</v>
      </c>
      <c r="DK22" s="26">
        <f>DK12*(DK$5*(1-Assumptions!$B$27*Assumptions!$B$28)+IF(DK$3&gt;=3,Assumptions!$B$29/12,0))</f>
        <v>249812.17982317519</v>
      </c>
      <c r="DL22" s="26">
        <f>DL12*(DL$5*(1-Assumptions!$B$27*Assumptions!$B$28)+IF(DL$3&gt;=3,Assumptions!$B$29/12,0))</f>
        <v>249812.17982317519</v>
      </c>
      <c r="DM22" s="26">
        <f>DM12*(DM$5*(1-Assumptions!$B$27*Assumptions!$B$28)+IF(DM$3&gt;=3,Assumptions!$B$29/12,0))</f>
        <v>249812.17982317519</v>
      </c>
      <c r="DN22" s="26">
        <f>DN12*(DN$5*(1-Assumptions!$B$27*Assumptions!$B$28)+IF(DN$3&gt;=3,Assumptions!$B$29/12,0))</f>
        <v>249812.17982317519</v>
      </c>
      <c r="DO22" s="26">
        <f>DO12*(DO$5*(1-Assumptions!$B$27*Assumptions!$B$28)+IF(DO$3&gt;=3,Assumptions!$B$29/12,0))</f>
        <v>249812.17982317519</v>
      </c>
      <c r="DP22" s="26">
        <f>DP12*(DP$5*(1-Assumptions!$B$27*Assumptions!$B$28)+IF(DP$3&gt;=3,Assumptions!$B$29/12,0))</f>
        <v>249812.17982317519</v>
      </c>
      <c r="DQ22" s="26">
        <f>DQ12*(DQ$5*(1-Assumptions!$B$27*Assumptions!$B$28)+IF(DQ$3&gt;=3,Assumptions!$B$29/12,0))</f>
        <v>249812.17982317519</v>
      </c>
      <c r="DR22" s="26">
        <f>DR12*(DR$5*(1-Assumptions!$B$27*Assumptions!$B$28)+IF(DR$3&gt;=3,Assumptions!$B$29/12,0))</f>
        <v>249812.17982317519</v>
      </c>
    </row>
    <row r="23" spans="1:122" x14ac:dyDescent="0.2">
      <c r="A23" s="9" t="s">
        <v>94</v>
      </c>
      <c r="C23" s="26">
        <f>C13*(C$5*(1-Assumptions!$B$27*Assumptions!$B$28)+IF(C$3&gt;=3,Assumptions!$B$29/12,0))</f>
        <v>0</v>
      </c>
      <c r="D23" s="26">
        <f>D13*(D$5*(1-Assumptions!$B$27*Assumptions!$B$28)+IF(D$3&gt;=3,Assumptions!$B$29/12,0))</f>
        <v>0</v>
      </c>
      <c r="E23" s="26">
        <f>E13*(E$5*(1-Assumptions!$B$27*Assumptions!$B$28)+IF(E$3&gt;=3,Assumptions!$B$29/12,0))</f>
        <v>0</v>
      </c>
      <c r="F23" s="26">
        <f>F13*(F$5*(1-Assumptions!$B$27*Assumptions!$B$28)+IF(F$3&gt;=3,Assumptions!$B$29/12,0))</f>
        <v>0</v>
      </c>
      <c r="G23" s="26">
        <f>G13*(G$5*(1-Assumptions!$B$27*Assumptions!$B$28)+IF(G$3&gt;=3,Assumptions!$B$29/12,0))</f>
        <v>0</v>
      </c>
      <c r="H23" s="26">
        <f>H13*(H$5*(1-Assumptions!$B$27*Assumptions!$B$28)+IF(H$3&gt;=3,Assumptions!$B$29/12,0))</f>
        <v>0</v>
      </c>
      <c r="I23" s="26">
        <f>I13*(I$5*(1-Assumptions!$B$27*Assumptions!$B$28)+IF(I$3&gt;=3,Assumptions!$B$29/12,0))</f>
        <v>0</v>
      </c>
      <c r="J23" s="26">
        <f>J13*(J$5*(1-Assumptions!$B$27*Assumptions!$B$28)+IF(J$3&gt;=3,Assumptions!$B$29/12,0))</f>
        <v>0</v>
      </c>
      <c r="K23" s="26">
        <f>K13*(K$5*(1-Assumptions!$B$27*Assumptions!$B$28)+IF(K$3&gt;=3,Assumptions!$B$29/12,0))</f>
        <v>0</v>
      </c>
      <c r="L23" s="26">
        <f>L13*(L$5*(1-Assumptions!$B$27*Assumptions!$B$28)+IF(L$3&gt;=3,Assumptions!$B$29/12,0))</f>
        <v>0</v>
      </c>
      <c r="M23" s="26">
        <f>M13*(M$5*(1-Assumptions!$B$27*Assumptions!$B$28)+IF(M$3&gt;=3,Assumptions!$B$29/12,0))</f>
        <v>0</v>
      </c>
      <c r="N23" s="26">
        <f>N13*(N$5*(1-Assumptions!$B$27*Assumptions!$B$28)+IF(N$3&gt;=3,Assumptions!$B$29/12,0))</f>
        <v>0</v>
      </c>
      <c r="O23" s="26">
        <f>O13*(O$5*(1-Assumptions!$B$27*Assumptions!$B$28)+IF(O$3&gt;=3,Assumptions!$B$29/12,0))</f>
        <v>0</v>
      </c>
      <c r="P23" s="26">
        <f>P13*(P$5*(1-Assumptions!$B$27*Assumptions!$B$28)+IF(P$3&gt;=3,Assumptions!$B$29/12,0))</f>
        <v>0</v>
      </c>
      <c r="Q23" s="26">
        <f>Q13*(Q$5*(1-Assumptions!$B$27*Assumptions!$B$28)+IF(Q$3&gt;=3,Assumptions!$B$29/12,0))</f>
        <v>0</v>
      </c>
      <c r="R23" s="26">
        <f>R13*(R$5*(1-Assumptions!$B$27*Assumptions!$B$28)+IF(R$3&gt;=3,Assumptions!$B$29/12,0))</f>
        <v>0</v>
      </c>
      <c r="S23" s="26">
        <f>S13*(S$5*(1-Assumptions!$B$27*Assumptions!$B$28)+IF(S$3&gt;=3,Assumptions!$B$29/12,0))</f>
        <v>0</v>
      </c>
      <c r="T23" s="26">
        <f>T13*(T$5*(1-Assumptions!$B$27*Assumptions!$B$28)+IF(T$3&gt;=3,Assumptions!$B$29/12,0))</f>
        <v>0</v>
      </c>
      <c r="U23" s="26">
        <f>U13*(U$5*(1-Assumptions!$B$27*Assumptions!$B$28)+IF(U$3&gt;=3,Assumptions!$B$29/12,0))</f>
        <v>0</v>
      </c>
      <c r="V23" s="26">
        <f>V13*(V$5*(1-Assumptions!$B$27*Assumptions!$B$28)+IF(V$3&gt;=3,Assumptions!$B$29/12,0))</f>
        <v>0</v>
      </c>
      <c r="W23" s="26">
        <f>W13*(W$5*(1-Assumptions!$B$27*Assumptions!$B$28)+IF(W$3&gt;=3,Assumptions!$B$29/12,0))</f>
        <v>0</v>
      </c>
      <c r="X23" s="26">
        <f>X13*(X$5*(1-Assumptions!$B$27*Assumptions!$B$28)+IF(X$3&gt;=3,Assumptions!$B$29/12,0))</f>
        <v>0</v>
      </c>
      <c r="Y23" s="26">
        <f>Y13*(Y$5*(1-Assumptions!$B$27*Assumptions!$B$28)+IF(Y$3&gt;=3,Assumptions!$B$29/12,0))</f>
        <v>0</v>
      </c>
      <c r="Z23" s="26">
        <f>Z13*(Z$5*(1-Assumptions!$B$27*Assumptions!$B$28)+IF(Z$3&gt;=3,Assumptions!$B$29/12,0))</f>
        <v>0</v>
      </c>
      <c r="AA23" s="26">
        <f>AA13*(AA$5*(1-Assumptions!$B$27*Assumptions!$B$28)+IF(AA$3&gt;=3,Assumptions!$B$29/12,0))</f>
        <v>0</v>
      </c>
      <c r="AB23" s="26">
        <f>AB13*(AB$5*(1-Assumptions!$B$27*Assumptions!$B$28)+IF(AB$3&gt;=3,Assumptions!$B$29/12,0))</f>
        <v>0</v>
      </c>
      <c r="AC23" s="26">
        <f>AC13*(AC$5*(1-Assumptions!$B$27*Assumptions!$B$28)+IF(AC$3&gt;=3,Assumptions!$B$29/12,0))</f>
        <v>0</v>
      </c>
      <c r="AD23" s="26">
        <f>AD13*(AD$5*(1-Assumptions!$B$27*Assumptions!$B$28)+IF(AD$3&gt;=3,Assumptions!$B$29/12,0))</f>
        <v>0</v>
      </c>
      <c r="AE23" s="26">
        <f>AE13*(AE$5*(1-Assumptions!$B$27*Assumptions!$B$28)+IF(AE$3&gt;=3,Assumptions!$B$29/12,0))</f>
        <v>0</v>
      </c>
      <c r="AF23" s="26">
        <f>AF13*(AF$5*(1-Assumptions!$B$27*Assumptions!$B$28)+IF(AF$3&gt;=3,Assumptions!$B$29/12,0))</f>
        <v>0</v>
      </c>
      <c r="AG23" s="26">
        <f>AG13*(AG$5*(1-Assumptions!$B$27*Assumptions!$B$28)+IF(AG$3&gt;=3,Assumptions!$B$29/12,0))</f>
        <v>0</v>
      </c>
      <c r="AH23" s="26">
        <f>AH13*(AH$5*(1-Assumptions!$B$27*Assumptions!$B$28)+IF(AH$3&gt;=3,Assumptions!$B$29/12,0))</f>
        <v>0</v>
      </c>
      <c r="AI23" s="26">
        <f>AI13*(AI$5*(1-Assumptions!$B$27*Assumptions!$B$28)+IF(AI$3&gt;=3,Assumptions!$B$29/12,0))</f>
        <v>0</v>
      </c>
      <c r="AJ23" s="26">
        <f>AJ13*(AJ$5*(1-Assumptions!$B$27*Assumptions!$B$28)+IF(AJ$3&gt;=3,Assumptions!$B$29/12,0))</f>
        <v>0</v>
      </c>
      <c r="AK23" s="26">
        <f>AK13*(AK$5*(1-Assumptions!$B$27*Assumptions!$B$28)+IF(AK$3&gt;=3,Assumptions!$B$29/12,0))</f>
        <v>0</v>
      </c>
      <c r="AL23" s="26">
        <f>AL13*(AL$5*(1-Assumptions!$B$27*Assumptions!$B$28)+IF(AL$3&gt;=3,Assumptions!$B$29/12,0))</f>
        <v>0</v>
      </c>
      <c r="AM23" s="26">
        <f>AM13*(AM$5*(1-Assumptions!$B$27*Assumptions!$B$28)+IF(AM$3&gt;=3,Assumptions!$B$29/12,0))</f>
        <v>0</v>
      </c>
      <c r="AN23" s="26">
        <f>AN13*(AN$5*(1-Assumptions!$B$27*Assumptions!$B$28)+IF(AN$3&gt;=3,Assumptions!$B$29/12,0))</f>
        <v>0</v>
      </c>
      <c r="AO23" s="26">
        <f>AO13*(AO$5*(1-Assumptions!$B$27*Assumptions!$B$28)+IF(AO$3&gt;=3,Assumptions!$B$29/12,0))</f>
        <v>0</v>
      </c>
      <c r="AP23" s="26">
        <f>AP13*(AP$5*(1-Assumptions!$B$27*Assumptions!$B$28)+IF(AP$3&gt;=3,Assumptions!$B$29/12,0))</f>
        <v>0</v>
      </c>
      <c r="AQ23" s="26">
        <f>AQ13*(AQ$5*(1-Assumptions!$B$27*Assumptions!$B$28)+IF(AQ$3&gt;=3,Assumptions!$B$29/12,0))</f>
        <v>0</v>
      </c>
      <c r="AR23" s="26">
        <f>AR13*(AR$5*(1-Assumptions!$B$27*Assumptions!$B$28)+IF(AR$3&gt;=3,Assumptions!$B$29/12,0))</f>
        <v>0</v>
      </c>
      <c r="AS23" s="26">
        <f>AS13*(AS$5*(1-Assumptions!$B$27*Assumptions!$B$28)+IF(AS$3&gt;=3,Assumptions!$B$29/12,0))</f>
        <v>0</v>
      </c>
      <c r="AT23" s="26">
        <f>AT13*(AT$5*(1-Assumptions!$B$27*Assumptions!$B$28)+IF(AT$3&gt;=3,Assumptions!$B$29/12,0))</f>
        <v>0</v>
      </c>
      <c r="AU23" s="26">
        <f>AU13*(AU$5*(1-Assumptions!$B$27*Assumptions!$B$28)+IF(AU$3&gt;=3,Assumptions!$B$29/12,0))</f>
        <v>0</v>
      </c>
      <c r="AV23" s="26">
        <f>AV13*(AV$5*(1-Assumptions!$B$27*Assumptions!$B$28)+IF(AV$3&gt;=3,Assumptions!$B$29/12,0))</f>
        <v>0</v>
      </c>
      <c r="AW23" s="26">
        <f>AW13*(AW$5*(1-Assumptions!$B$27*Assumptions!$B$28)+IF(AW$3&gt;=3,Assumptions!$B$29/12,0))</f>
        <v>0</v>
      </c>
      <c r="AX23" s="26">
        <f>AX13*(AX$5*(1-Assumptions!$B$27*Assumptions!$B$28)+IF(AX$3&gt;=3,Assumptions!$B$29/12,0))</f>
        <v>0</v>
      </c>
      <c r="AY23" s="26">
        <f>AY13*(AY$5*(1-Assumptions!$B$27*Assumptions!$B$28)+IF(AY$3&gt;=3,Assumptions!$B$29/12,0))</f>
        <v>0</v>
      </c>
      <c r="AZ23" s="26">
        <f>AZ13*(AZ$5*(1-Assumptions!$B$27*Assumptions!$B$28)+IF(AZ$3&gt;=3,Assumptions!$B$29/12,0))</f>
        <v>0</v>
      </c>
      <c r="BA23" s="26">
        <f>BA13*(BA$5*(1-Assumptions!$B$27*Assumptions!$B$28)+IF(BA$3&gt;=3,Assumptions!$B$29/12,0))</f>
        <v>0</v>
      </c>
      <c r="BB23" s="26">
        <f>BB13*(BB$5*(1-Assumptions!$B$27*Assumptions!$B$28)+IF(BB$3&gt;=3,Assumptions!$B$29/12,0))</f>
        <v>0</v>
      </c>
      <c r="BC23" s="26">
        <f>BC13*(BC$5*(1-Assumptions!$B$27*Assumptions!$B$28)+IF(BC$3&gt;=3,Assumptions!$B$29/12,0))</f>
        <v>0</v>
      </c>
      <c r="BD23" s="26">
        <f>BD13*(BD$5*(1-Assumptions!$B$27*Assumptions!$B$28)+IF(BD$3&gt;=3,Assumptions!$B$29/12,0))</f>
        <v>0</v>
      </c>
      <c r="BE23" s="26">
        <f>BE13*(BE$5*(1-Assumptions!$B$27*Assumptions!$B$28)+IF(BE$3&gt;=3,Assumptions!$B$29/12,0))</f>
        <v>0</v>
      </c>
      <c r="BF23" s="26">
        <f>BF13*(BF$5*(1-Assumptions!$B$27*Assumptions!$B$28)+IF(BF$3&gt;=3,Assumptions!$B$29/12,0))</f>
        <v>0</v>
      </c>
      <c r="BG23" s="26">
        <f>BG13*(BG$5*(1-Assumptions!$B$27*Assumptions!$B$28)+IF(BG$3&gt;=3,Assumptions!$B$29/12,0))</f>
        <v>0</v>
      </c>
      <c r="BH23" s="26">
        <f>BH13*(BH$5*(1-Assumptions!$B$27*Assumptions!$B$28)+IF(BH$3&gt;=3,Assumptions!$B$29/12,0))</f>
        <v>0</v>
      </c>
      <c r="BI23" s="26">
        <f>BI13*(BI$5*(1-Assumptions!$B$27*Assumptions!$B$28)+IF(BI$3&gt;=3,Assumptions!$B$29/12,0))</f>
        <v>0</v>
      </c>
      <c r="BJ23" s="26">
        <f>BJ13*(BJ$5*(1-Assumptions!$B$27*Assumptions!$B$28)+IF(BJ$3&gt;=3,Assumptions!$B$29/12,0))</f>
        <v>0</v>
      </c>
      <c r="BK23" s="26">
        <f>BK13*(BK$5*(1-Assumptions!$B$27*Assumptions!$B$28)+IF(BK$3&gt;=3,Assumptions!$B$29/12,0))</f>
        <v>0</v>
      </c>
      <c r="BL23" s="26">
        <f>BL13*(BL$5*(1-Assumptions!$B$27*Assumptions!$B$28)+IF(BL$3&gt;=3,Assumptions!$B$29/12,0))</f>
        <v>0</v>
      </c>
      <c r="BM23" s="26">
        <f>BM13*(BM$5*(1-Assumptions!$B$27*Assumptions!$B$28)+IF(BM$3&gt;=3,Assumptions!$B$29/12,0))</f>
        <v>0</v>
      </c>
      <c r="BN23" s="26">
        <f>BN13*(BN$5*(1-Assumptions!$B$27*Assumptions!$B$28)+IF(BN$3&gt;=3,Assumptions!$B$29/12,0))</f>
        <v>0</v>
      </c>
      <c r="BO23" s="26">
        <f>BO13*(BO$5*(1-Assumptions!$B$27*Assumptions!$B$28)+IF(BO$3&gt;=3,Assumptions!$B$29/12,0))</f>
        <v>0</v>
      </c>
      <c r="BP23" s="26">
        <f>BP13*(BP$5*(1-Assumptions!$B$27*Assumptions!$B$28)+IF(BP$3&gt;=3,Assumptions!$B$29/12,0))</f>
        <v>0</v>
      </c>
      <c r="BQ23" s="26">
        <f>BQ13*(BQ$5*(1-Assumptions!$B$27*Assumptions!$B$28)+IF(BQ$3&gt;=3,Assumptions!$B$29/12,0))</f>
        <v>0</v>
      </c>
      <c r="BR23" s="26">
        <f>BR13*(BR$5*(1-Assumptions!$B$27*Assumptions!$B$28)+IF(BR$3&gt;=3,Assumptions!$B$29/12,0))</f>
        <v>0</v>
      </c>
      <c r="BS23" s="26">
        <f>BS13*(BS$5*(1-Assumptions!$B$27*Assumptions!$B$28)+IF(BS$3&gt;=3,Assumptions!$B$29/12,0))</f>
        <v>0</v>
      </c>
      <c r="BT23" s="26">
        <f>BT13*(BT$5*(1-Assumptions!$B$27*Assumptions!$B$28)+IF(BT$3&gt;=3,Assumptions!$B$29/12,0))</f>
        <v>0</v>
      </c>
      <c r="BU23" s="26">
        <f>BU13*(BU$5*(1-Assumptions!$B$27*Assumptions!$B$28)+IF(BU$3&gt;=3,Assumptions!$B$29/12,0))</f>
        <v>0</v>
      </c>
      <c r="BV23" s="26">
        <f>BV13*(BV$5*(1-Assumptions!$B$27*Assumptions!$B$28)+IF(BV$3&gt;=3,Assumptions!$B$29/12,0))</f>
        <v>0</v>
      </c>
      <c r="BW23" s="26">
        <f>BW13*(BW$5*(1-Assumptions!$B$27*Assumptions!$B$28)+IF(BW$3&gt;=3,Assumptions!$B$29/12,0))</f>
        <v>6357.0054681411011</v>
      </c>
      <c r="BX23" s="26">
        <f>BX13*(BX$5*(1-Assumptions!$B$27*Assumptions!$B$28)+IF(BX$3&gt;=3,Assumptions!$B$29/12,0))</f>
        <v>12714.010936282202</v>
      </c>
      <c r="BY23" s="26">
        <f>BY13*(BY$5*(1-Assumptions!$B$27*Assumptions!$B$28)+IF(BY$3&gt;=3,Assumptions!$B$29/12,0))</f>
        <v>19071.016404423306</v>
      </c>
      <c r="BZ23" s="26">
        <f>BZ13*(BZ$5*(1-Assumptions!$B$27*Assumptions!$B$28)+IF(BZ$3&gt;=3,Assumptions!$B$29/12,0))</f>
        <v>25428.021872564404</v>
      </c>
      <c r="CA23" s="26">
        <f>CA13*(CA$5*(1-Assumptions!$B$27*Assumptions!$B$28)+IF(CA$3&gt;=3,Assumptions!$B$29/12,0))</f>
        <v>31785.027340705507</v>
      </c>
      <c r="CB23" s="26">
        <f>CB13*(CB$5*(1-Assumptions!$B$27*Assumptions!$B$28)+IF(CB$3&gt;=3,Assumptions!$B$29/12,0))</f>
        <v>38142.032808846612</v>
      </c>
      <c r="CC23" s="26">
        <f>CC13*(CC$5*(1-Assumptions!$B$27*Assumptions!$B$28)+IF(CC$3&gt;=3,Assumptions!$B$29/12,0))</f>
        <v>44499.038276987711</v>
      </c>
      <c r="CD23" s="26">
        <f>CD13*(CD$5*(1-Assumptions!$B$27*Assumptions!$B$28)+IF(CD$3&gt;=3,Assumptions!$B$29/12,0))</f>
        <v>50856.043745128809</v>
      </c>
      <c r="CE23" s="26">
        <f>CE13*(CE$5*(1-Assumptions!$B$27*Assumptions!$B$28)+IF(CE$3&gt;=3,Assumptions!$B$29/12,0))</f>
        <v>57213.0492132699</v>
      </c>
      <c r="CF23" s="26">
        <f>CF13*(CF$5*(1-Assumptions!$B$27*Assumptions!$B$28)+IF(CF$3&gt;=3,Assumptions!$B$29/12,0))</f>
        <v>63570.054681411013</v>
      </c>
      <c r="CG23" s="26">
        <f>CG13*(CG$5*(1-Assumptions!$B$27*Assumptions!$B$28)+IF(CG$3&gt;=3,Assumptions!$B$29/12,0))</f>
        <v>69927.060149552111</v>
      </c>
      <c r="CH23" s="26">
        <f>CH13*(CH$5*(1-Assumptions!$B$27*Assumptions!$B$28)+IF(CH$3&gt;=3,Assumptions!$B$29/12,0))</f>
        <v>76284.065617693224</v>
      </c>
      <c r="CI23" s="26">
        <f>CI13*(CI$5*(1-Assumptions!$B$27*Assumptions!$B$28)+IF(CI$3&gt;=3,Assumptions!$B$29/12,0))</f>
        <v>85089.834468409346</v>
      </c>
      <c r="CJ23" s="26">
        <f>CJ13*(CJ$5*(1-Assumptions!$B$27*Assumptions!$B$28)+IF(CJ$3&gt;=3,Assumptions!$B$29/12,0))</f>
        <v>91635.206350594686</v>
      </c>
      <c r="CK23" s="26">
        <f>CK13*(CK$5*(1-Assumptions!$B$27*Assumptions!$B$28)+IF(CK$3&gt;=3,Assumptions!$B$29/12,0))</f>
        <v>98180.578232780012</v>
      </c>
      <c r="CL23" s="26">
        <f>CL13*(CL$5*(1-Assumptions!$B$27*Assumptions!$B$28)+IF(CL$3&gt;=3,Assumptions!$B$29/12,0))</f>
        <v>104725.95011496535</v>
      </c>
      <c r="CM23" s="26">
        <f>CM13*(CM$5*(1-Assumptions!$B$27*Assumptions!$B$28)+IF(CM$3&gt;=3,Assumptions!$B$29/12,0))</f>
        <v>111271.32199715071</v>
      </c>
      <c r="CN23" s="26">
        <f>CN13*(CN$5*(1-Assumptions!$B$27*Assumptions!$B$28)+IF(CN$3&gt;=3,Assumptions!$B$29/12,0))</f>
        <v>117816.693879336</v>
      </c>
      <c r="CO23" s="26">
        <f>CO13*(CO$5*(1-Assumptions!$B$27*Assumptions!$B$28)+IF(CO$3&gt;=3,Assumptions!$B$29/12,0))</f>
        <v>124362.06576152137</v>
      </c>
      <c r="CP23" s="26">
        <f>CP13*(CP$5*(1-Assumptions!$B$27*Assumptions!$B$28)+IF(CP$3&gt;=3,Assumptions!$B$29/12,0))</f>
        <v>130907.43764370668</v>
      </c>
      <c r="CQ23" s="26">
        <f>CQ13*(CQ$5*(1-Assumptions!$B$27*Assumptions!$B$28)+IF(CQ$3&gt;=3,Assumptions!$B$29/12,0))</f>
        <v>137452.80952589202</v>
      </c>
      <c r="CR23" s="26">
        <f>CR13*(CR$5*(1-Assumptions!$B$27*Assumptions!$B$28)+IF(CR$3&gt;=3,Assumptions!$B$29/12,0))</f>
        <v>143998.18140807736</v>
      </c>
      <c r="CS23" s="26">
        <f>CS13*(CS$5*(1-Assumptions!$B$27*Assumptions!$B$28)+IF(CS$3&gt;=3,Assumptions!$B$29/12,0))</f>
        <v>150543.5532902627</v>
      </c>
      <c r="CT23" s="26">
        <f>CT13*(CT$5*(1-Assumptions!$B$27*Assumptions!$B$28)+IF(CT$3&gt;=3,Assumptions!$B$29/12,0))</f>
        <v>157088.92517244804</v>
      </c>
      <c r="CU23" s="26">
        <f>CU13*(CU$5*(1-Assumptions!$B$27*Assumptions!$B$28)+IF(CU$3&gt;=3,Assumptions!$B$29/12,0))</f>
        <v>168484.73221627236</v>
      </c>
      <c r="CV23" s="26">
        <f>CV13*(CV$5*(1-Assumptions!$B$27*Assumptions!$B$28)+IF(CV$3&gt;=3,Assumptions!$B$29/12,0))</f>
        <v>175224.12150492327</v>
      </c>
      <c r="CW23" s="26">
        <f>CW13*(CW$5*(1-Assumptions!$B$27*Assumptions!$B$28)+IF(CW$3&gt;=3,Assumptions!$B$29/12,0))</f>
        <v>181963.51079357415</v>
      </c>
      <c r="CX23" s="26">
        <f>CX13*(CX$5*(1-Assumptions!$B$27*Assumptions!$B$28)+IF(CX$3&gt;=3,Assumptions!$B$29/12,0))</f>
        <v>188702.90008222504</v>
      </c>
      <c r="CY23" s="26">
        <f>CY13*(CY$5*(1-Assumptions!$B$27*Assumptions!$B$28)+IF(CY$3&gt;=3,Assumptions!$B$29/12,0))</f>
        <v>195442.28937087598</v>
      </c>
      <c r="CZ23" s="26">
        <f>CZ13*(CZ$5*(1-Assumptions!$B$27*Assumptions!$B$28)+IF(CZ$3&gt;=3,Assumptions!$B$29/12,0))</f>
        <v>202181.67865952683</v>
      </c>
      <c r="DA23" s="26">
        <f>DA13*(DA$5*(1-Assumptions!$B$27*Assumptions!$B$28)+IF(DA$3&gt;=3,Assumptions!$B$29/12,0))</f>
        <v>208921.06794817775</v>
      </c>
      <c r="DB23" s="26">
        <f>DB13*(DB$5*(1-Assumptions!$B$27*Assumptions!$B$28)+IF(DB$3&gt;=3,Assumptions!$B$29/12,0))</f>
        <v>215660.45723682863</v>
      </c>
      <c r="DC23" s="26">
        <f>DC13*(DC$5*(1-Assumptions!$B$27*Assumptions!$B$28)+IF(DC$3&gt;=3,Assumptions!$B$29/12,0))</f>
        <v>222399.84652547952</v>
      </c>
      <c r="DD23" s="26">
        <f>DD13*(DD$5*(1-Assumptions!$B$27*Assumptions!$B$28)+IF(DD$3&gt;=3,Assumptions!$B$29/12,0))</f>
        <v>229139.23581413046</v>
      </c>
      <c r="DE23" s="26">
        <f>DE13*(DE$5*(1-Assumptions!$B$27*Assumptions!$B$28)+IF(DE$3&gt;=3,Assumptions!$B$29/12,0))</f>
        <v>235878.62510278131</v>
      </c>
      <c r="DF23" s="26">
        <f>DF13*(DF$5*(1-Assumptions!$B$27*Assumptions!$B$28)+IF(DF$3&gt;=3,Assumptions!$B$29/12,0))</f>
        <v>242618.01439143217</v>
      </c>
      <c r="DG23" s="26">
        <f>DG13*(DG$5*(1-Assumptions!$B$27*Assumptions!$B$28)+IF(DG$3&gt;=3,Assumptions!$B$29/12,0))</f>
        <v>249812.17982317519</v>
      </c>
      <c r="DH23" s="26">
        <f>DH13*(DH$5*(1-Assumptions!$B$27*Assumptions!$B$28)+IF(DH$3&gt;=3,Assumptions!$B$29/12,0))</f>
        <v>249812.17982317519</v>
      </c>
      <c r="DI23" s="26">
        <f>DI13*(DI$5*(1-Assumptions!$B$27*Assumptions!$B$28)+IF(DI$3&gt;=3,Assumptions!$B$29/12,0))</f>
        <v>249812.17982317519</v>
      </c>
      <c r="DJ23" s="26">
        <f>DJ13*(DJ$5*(1-Assumptions!$B$27*Assumptions!$B$28)+IF(DJ$3&gt;=3,Assumptions!$B$29/12,0))</f>
        <v>249812.17982317519</v>
      </c>
      <c r="DK23" s="26">
        <f>DK13*(DK$5*(1-Assumptions!$B$27*Assumptions!$B$28)+IF(DK$3&gt;=3,Assumptions!$B$29/12,0))</f>
        <v>249812.17982317519</v>
      </c>
      <c r="DL23" s="26">
        <f>DL13*(DL$5*(1-Assumptions!$B$27*Assumptions!$B$28)+IF(DL$3&gt;=3,Assumptions!$B$29/12,0))</f>
        <v>249812.17982317519</v>
      </c>
      <c r="DM23" s="26">
        <f>DM13*(DM$5*(1-Assumptions!$B$27*Assumptions!$B$28)+IF(DM$3&gt;=3,Assumptions!$B$29/12,0))</f>
        <v>249812.17982317519</v>
      </c>
      <c r="DN23" s="26">
        <f>DN13*(DN$5*(1-Assumptions!$B$27*Assumptions!$B$28)+IF(DN$3&gt;=3,Assumptions!$B$29/12,0))</f>
        <v>249812.17982317519</v>
      </c>
      <c r="DO23" s="26">
        <f>DO13*(DO$5*(1-Assumptions!$B$27*Assumptions!$B$28)+IF(DO$3&gt;=3,Assumptions!$B$29/12,0))</f>
        <v>249812.17982317519</v>
      </c>
      <c r="DP23" s="26">
        <f>DP13*(DP$5*(1-Assumptions!$B$27*Assumptions!$B$28)+IF(DP$3&gt;=3,Assumptions!$B$29/12,0))</f>
        <v>249812.17982317519</v>
      </c>
      <c r="DQ23" s="26">
        <f>DQ13*(DQ$5*(1-Assumptions!$B$27*Assumptions!$B$28)+IF(DQ$3&gt;=3,Assumptions!$B$29/12,0))</f>
        <v>249812.17982317519</v>
      </c>
      <c r="DR23" s="26">
        <f>DR13*(DR$5*(1-Assumptions!$B$27*Assumptions!$B$28)+IF(DR$3&gt;=3,Assumptions!$B$29/12,0))</f>
        <v>249812.17982317519</v>
      </c>
    </row>
    <row r="25" spans="1:122" x14ac:dyDescent="0.2">
      <c r="A25" s="19" t="s">
        <v>95</v>
      </c>
      <c r="C25" s="32">
        <f t="shared" ref="C25:AH25" si="12">SUM(C18:C23)</f>
        <v>3680.9244791666665</v>
      </c>
      <c r="D25" s="32">
        <f t="shared" si="12"/>
        <v>7361.848958333333</v>
      </c>
      <c r="E25" s="32">
        <f t="shared" si="12"/>
        <v>11042.773437500002</v>
      </c>
      <c r="F25" s="32">
        <f t="shared" si="12"/>
        <v>14723.697916666666</v>
      </c>
      <c r="G25" s="32">
        <f t="shared" si="12"/>
        <v>18404.622395833332</v>
      </c>
      <c r="H25" s="32">
        <f t="shared" si="12"/>
        <v>22085.546875000004</v>
      </c>
      <c r="I25" s="32">
        <f t="shared" si="12"/>
        <v>25766.471354166661</v>
      </c>
      <c r="J25" s="32">
        <f t="shared" si="12"/>
        <v>29447.395833333332</v>
      </c>
      <c r="K25" s="32">
        <f t="shared" si="12"/>
        <v>33128.320312499993</v>
      </c>
      <c r="L25" s="32">
        <f t="shared" si="12"/>
        <v>36809.244791666664</v>
      </c>
      <c r="M25" s="32">
        <f t="shared" si="12"/>
        <v>40490.169270833336</v>
      </c>
      <c r="N25" s="32">
        <f t="shared" si="12"/>
        <v>44171.093750000007</v>
      </c>
      <c r="O25" s="32">
        <f t="shared" si="12"/>
        <v>49287.578776041672</v>
      </c>
      <c r="P25" s="32">
        <f t="shared" si="12"/>
        <v>53078.930989583336</v>
      </c>
      <c r="Q25" s="32">
        <f t="shared" si="12"/>
        <v>56870.283203125007</v>
      </c>
      <c r="R25" s="32">
        <f t="shared" si="12"/>
        <v>60661.635416666672</v>
      </c>
      <c r="S25" s="32">
        <f t="shared" si="12"/>
        <v>64452.98763020835</v>
      </c>
      <c r="T25" s="32">
        <f t="shared" si="12"/>
        <v>68244.33984375</v>
      </c>
      <c r="U25" s="32">
        <f t="shared" si="12"/>
        <v>72035.692057291672</v>
      </c>
      <c r="V25" s="32">
        <f t="shared" si="12"/>
        <v>75827.044270833343</v>
      </c>
      <c r="W25" s="32">
        <f t="shared" si="12"/>
        <v>79618.396484375015</v>
      </c>
      <c r="X25" s="32">
        <f t="shared" si="12"/>
        <v>83409.748697916686</v>
      </c>
      <c r="Y25" s="32">
        <f t="shared" si="12"/>
        <v>87201.100911458328</v>
      </c>
      <c r="Z25" s="32">
        <f t="shared" si="12"/>
        <v>90992.453125000015</v>
      </c>
      <c r="AA25" s="32">
        <f t="shared" si="12"/>
        <v>102954.28727864582</v>
      </c>
      <c r="AB25" s="32">
        <f t="shared" si="12"/>
        <v>110873.84783854167</v>
      </c>
      <c r="AC25" s="32">
        <f t="shared" si="12"/>
        <v>118793.4083984375</v>
      </c>
      <c r="AD25" s="32">
        <f t="shared" si="12"/>
        <v>126712.96895833332</v>
      </c>
      <c r="AE25" s="32">
        <f t="shared" si="12"/>
        <v>134632.52951822919</v>
      </c>
      <c r="AF25" s="32">
        <f t="shared" si="12"/>
        <v>142552.09007812498</v>
      </c>
      <c r="AG25" s="32">
        <f t="shared" si="12"/>
        <v>150471.65063802083</v>
      </c>
      <c r="AH25" s="32">
        <f t="shared" si="12"/>
        <v>158391.21119791665</v>
      </c>
      <c r="AI25" s="32">
        <f t="shared" ref="AI25:BN25" si="13">SUM(AI18:AI23)</f>
        <v>166310.7717578125</v>
      </c>
      <c r="AJ25" s="32">
        <f t="shared" si="13"/>
        <v>174230.33231770835</v>
      </c>
      <c r="AK25" s="32">
        <f t="shared" si="13"/>
        <v>182149.89287760417</v>
      </c>
      <c r="AL25" s="32">
        <f t="shared" si="13"/>
        <v>190069.45343749999</v>
      </c>
      <c r="AM25" s="32">
        <f t="shared" si="13"/>
        <v>203264.2341582682</v>
      </c>
      <c r="AN25" s="32">
        <f t="shared" si="13"/>
        <v>210835.68127591143</v>
      </c>
      <c r="AO25" s="32">
        <f t="shared" si="13"/>
        <v>218407.12839355465</v>
      </c>
      <c r="AP25" s="32">
        <f t="shared" si="13"/>
        <v>225978.57551119788</v>
      </c>
      <c r="AQ25" s="32">
        <f t="shared" si="13"/>
        <v>233550.02262884111</v>
      </c>
      <c r="AR25" s="32">
        <f t="shared" si="13"/>
        <v>241121.4697464843</v>
      </c>
      <c r="AS25" s="32">
        <f t="shared" si="13"/>
        <v>248692.91686412756</v>
      </c>
      <c r="AT25" s="32">
        <f t="shared" si="13"/>
        <v>256264.36398177076</v>
      </c>
      <c r="AU25" s="32">
        <f t="shared" si="13"/>
        <v>263835.81109941402</v>
      </c>
      <c r="AV25" s="32">
        <f t="shared" si="13"/>
        <v>271407.25821705727</v>
      </c>
      <c r="AW25" s="32">
        <f t="shared" si="13"/>
        <v>278978.70533470041</v>
      </c>
      <c r="AX25" s="32">
        <f t="shared" si="13"/>
        <v>286550.15245234373</v>
      </c>
      <c r="AY25" s="32">
        <f t="shared" si="13"/>
        <v>308823.46022529621</v>
      </c>
      <c r="AZ25" s="32">
        <f t="shared" si="13"/>
        <v>322615.57592467836</v>
      </c>
      <c r="BA25" s="32">
        <f t="shared" si="13"/>
        <v>336407.69162406051</v>
      </c>
      <c r="BB25" s="32">
        <f t="shared" si="13"/>
        <v>350199.80732344266</v>
      </c>
      <c r="BC25" s="32">
        <f t="shared" si="13"/>
        <v>363991.92302282492</v>
      </c>
      <c r="BD25" s="32">
        <f t="shared" si="13"/>
        <v>377784.03872220707</v>
      </c>
      <c r="BE25" s="32">
        <f t="shared" si="13"/>
        <v>391576.15442158922</v>
      </c>
      <c r="BF25" s="32">
        <f t="shared" si="13"/>
        <v>405368.27012097131</v>
      </c>
      <c r="BG25" s="32">
        <f t="shared" si="13"/>
        <v>419160.38582035352</v>
      </c>
      <c r="BH25" s="32">
        <f t="shared" si="13"/>
        <v>432952.50151973567</v>
      </c>
      <c r="BI25" s="32">
        <f t="shared" si="13"/>
        <v>446744.61721911782</v>
      </c>
      <c r="BJ25" s="32">
        <f t="shared" si="13"/>
        <v>460536.73291850003</v>
      </c>
      <c r="BK25" s="32">
        <f t="shared" si="13"/>
        <v>490225.56108777027</v>
      </c>
      <c r="BL25" s="32">
        <f t="shared" si="13"/>
        <v>506278.28726948565</v>
      </c>
      <c r="BM25" s="32">
        <f t="shared" si="13"/>
        <v>522331.01345120108</v>
      </c>
      <c r="BN25" s="32">
        <f t="shared" si="13"/>
        <v>538383.73963291652</v>
      </c>
      <c r="BO25" s="32">
        <f t="shared" ref="BO25:CT25" si="14">SUM(BO18:BO23)</f>
        <v>554436.4658146319</v>
      </c>
      <c r="BP25" s="32">
        <f t="shared" si="14"/>
        <v>570489.19199634728</v>
      </c>
      <c r="BQ25" s="32">
        <f t="shared" si="14"/>
        <v>586541.91817806265</v>
      </c>
      <c r="BR25" s="32">
        <f t="shared" si="14"/>
        <v>602594.64435977803</v>
      </c>
      <c r="BS25" s="32">
        <f t="shared" si="14"/>
        <v>618647.37054149341</v>
      </c>
      <c r="BT25" s="32">
        <f t="shared" si="14"/>
        <v>634700.0967232089</v>
      </c>
      <c r="BU25" s="32">
        <f t="shared" si="14"/>
        <v>650752.82290492428</v>
      </c>
      <c r="BV25" s="32">
        <f t="shared" si="14"/>
        <v>666805.54908663966</v>
      </c>
      <c r="BW25" s="32">
        <f t="shared" si="14"/>
        <v>705627.6069636622</v>
      </c>
      <c r="BX25" s="32">
        <f t="shared" si="14"/>
        <v>724698.62336808559</v>
      </c>
      <c r="BY25" s="32">
        <f t="shared" si="14"/>
        <v>743769.63977250888</v>
      </c>
      <c r="BZ25" s="32">
        <f t="shared" si="14"/>
        <v>762840.65617693216</v>
      </c>
      <c r="CA25" s="32">
        <f t="shared" si="14"/>
        <v>781911.67258135555</v>
      </c>
      <c r="CB25" s="32">
        <f t="shared" si="14"/>
        <v>800982.68898577872</v>
      </c>
      <c r="CC25" s="32">
        <f t="shared" si="14"/>
        <v>820053.70539020211</v>
      </c>
      <c r="CD25" s="32">
        <f t="shared" si="14"/>
        <v>839124.72179462539</v>
      </c>
      <c r="CE25" s="32">
        <f t="shared" si="14"/>
        <v>858195.73819904868</v>
      </c>
      <c r="CF25" s="32">
        <f t="shared" si="14"/>
        <v>877266.75460347207</v>
      </c>
      <c r="CG25" s="32">
        <f t="shared" si="14"/>
        <v>896337.77100789524</v>
      </c>
      <c r="CH25" s="32">
        <f t="shared" si="14"/>
        <v>915408.78741231863</v>
      </c>
      <c r="CI25" s="32">
        <f t="shared" si="14"/>
        <v>955624.29479905881</v>
      </c>
      <c r="CJ25" s="32">
        <f t="shared" si="14"/>
        <v>968715.03856342949</v>
      </c>
      <c r="CK25" s="32">
        <f t="shared" si="14"/>
        <v>981805.78232780017</v>
      </c>
      <c r="CL25" s="32">
        <f t="shared" si="14"/>
        <v>994896.52609217085</v>
      </c>
      <c r="CM25" s="32">
        <f t="shared" si="14"/>
        <v>1007987.2698565415</v>
      </c>
      <c r="CN25" s="32">
        <f t="shared" si="14"/>
        <v>1021078.0136209122</v>
      </c>
      <c r="CO25" s="32">
        <f t="shared" si="14"/>
        <v>1034168.7573852829</v>
      </c>
      <c r="CP25" s="32">
        <f t="shared" si="14"/>
        <v>1047259.5011496536</v>
      </c>
      <c r="CQ25" s="32">
        <f t="shared" si="14"/>
        <v>1060350.2449140241</v>
      </c>
      <c r="CR25" s="32">
        <f t="shared" si="14"/>
        <v>1073440.9886783948</v>
      </c>
      <c r="CS25" s="32">
        <f t="shared" si="14"/>
        <v>1086531.7324427655</v>
      </c>
      <c r="CT25" s="32">
        <f t="shared" si="14"/>
        <v>1099622.4762071362</v>
      </c>
      <c r="CU25" s="32">
        <f t="shared" ref="CU25:DR25" si="15">SUM(CU18:CU23)</f>
        <v>1138956.7897820012</v>
      </c>
      <c r="CV25" s="32">
        <f t="shared" si="15"/>
        <v>1145696.179070652</v>
      </c>
      <c r="CW25" s="32">
        <f t="shared" si="15"/>
        <v>1152435.5683593028</v>
      </c>
      <c r="CX25" s="32">
        <f t="shared" si="15"/>
        <v>1159174.9576479539</v>
      </c>
      <c r="CY25" s="32">
        <f t="shared" si="15"/>
        <v>1165914.3469366047</v>
      </c>
      <c r="CZ25" s="32">
        <f t="shared" si="15"/>
        <v>1172653.7362252555</v>
      </c>
      <c r="DA25" s="32">
        <f t="shared" si="15"/>
        <v>1179393.1255139066</v>
      </c>
      <c r="DB25" s="32">
        <f t="shared" si="15"/>
        <v>1186132.5148025574</v>
      </c>
      <c r="DC25" s="32">
        <f t="shared" si="15"/>
        <v>1192871.9040912082</v>
      </c>
      <c r="DD25" s="32">
        <f t="shared" si="15"/>
        <v>1199611.2933798593</v>
      </c>
      <c r="DE25" s="32">
        <f t="shared" si="15"/>
        <v>1206350.6826685101</v>
      </c>
      <c r="DF25" s="32">
        <f t="shared" si="15"/>
        <v>1213090.071957161</v>
      </c>
      <c r="DG25" s="32">
        <f t="shared" si="15"/>
        <v>1249060.8991158758</v>
      </c>
      <c r="DH25" s="32">
        <f t="shared" si="15"/>
        <v>1249060.8991158758</v>
      </c>
      <c r="DI25" s="32">
        <f t="shared" si="15"/>
        <v>1249060.8991158758</v>
      </c>
      <c r="DJ25" s="32">
        <f t="shared" si="15"/>
        <v>1249060.8991158758</v>
      </c>
      <c r="DK25" s="32">
        <f t="shared" si="15"/>
        <v>1249060.8991158758</v>
      </c>
      <c r="DL25" s="32">
        <f t="shared" si="15"/>
        <v>1249060.8991158758</v>
      </c>
      <c r="DM25" s="32">
        <f t="shared" si="15"/>
        <v>1249060.8991158758</v>
      </c>
      <c r="DN25" s="32">
        <f t="shared" si="15"/>
        <v>1249060.8991158758</v>
      </c>
      <c r="DO25" s="32">
        <f t="shared" si="15"/>
        <v>1249060.8991158758</v>
      </c>
      <c r="DP25" s="32">
        <f t="shared" si="15"/>
        <v>1249060.8991158758</v>
      </c>
      <c r="DQ25" s="32">
        <f t="shared" si="15"/>
        <v>1249060.8991158758</v>
      </c>
      <c r="DR25" s="32">
        <f t="shared" si="15"/>
        <v>1249060.8991158758</v>
      </c>
    </row>
    <row r="26" spans="1:122" x14ac:dyDescent="0.2">
      <c r="A26" s="31" t="s">
        <v>96</v>
      </c>
    </row>
    <row r="27" spans="1:122" x14ac:dyDescent="0.2">
      <c r="A27" s="9" t="s">
        <v>97</v>
      </c>
      <c r="C27" s="26">
        <f>Assumptions!$B$32/12*C6*(1-Assumptions!$B$33*C16)</f>
        <v>49829.427083333336</v>
      </c>
      <c r="D27" s="26">
        <f>Assumptions!$B$32/12*D6*(1-Assumptions!$B$33*D16)</f>
        <v>48617.187500000007</v>
      </c>
      <c r="E27" s="26">
        <f>Assumptions!$B$32/12*E6*(1-Assumptions!$B$33*E16)</f>
        <v>47404.947916666672</v>
      </c>
      <c r="F27" s="26">
        <f>Assumptions!$B$32/12*F6*(1-Assumptions!$B$33*F16)</f>
        <v>46192.708333333336</v>
      </c>
      <c r="G27" s="26">
        <f>Assumptions!$B$32/12*G6*(1-Assumptions!$B$33*G16)</f>
        <v>44980.46875</v>
      </c>
      <c r="H27" s="26">
        <f>Assumptions!$B$32/12*H6*(1-Assumptions!$B$33*H16)</f>
        <v>43768.229166666664</v>
      </c>
      <c r="I27" s="26">
        <f>Assumptions!$B$32/12*I6*(1-Assumptions!$B$33*I16)</f>
        <v>42555.989583333336</v>
      </c>
      <c r="J27" s="26">
        <f>Assumptions!$B$32/12*J6*(1-Assumptions!$B$33*J16)</f>
        <v>41343.750000000007</v>
      </c>
      <c r="K27" s="26">
        <f>Assumptions!$B$32/12*K6*(1-Assumptions!$B$33*K16)</f>
        <v>40131.510416666679</v>
      </c>
      <c r="L27" s="26">
        <f>Assumptions!$B$32/12*L6*(1-Assumptions!$B$33*L16)</f>
        <v>38919.270833333336</v>
      </c>
      <c r="M27" s="26">
        <f>Assumptions!$B$32/12*M6*(1-Assumptions!$B$33*M16)</f>
        <v>37707.031250000007</v>
      </c>
      <c r="N27" s="26">
        <f>Assumptions!$B$32/12*N6*(1-Assumptions!$B$33*N16)</f>
        <v>36494.791666666672</v>
      </c>
      <c r="O27" s="26">
        <f>Assumptions!$B$32/12*O6*(1-Assumptions!$B$33*O16)</f>
        <v>35282.552083333336</v>
      </c>
      <c r="P27" s="26">
        <f>Assumptions!$B$32/12*P6*(1-Assumptions!$B$33*P16)</f>
        <v>34070.3125</v>
      </c>
      <c r="Q27" s="26">
        <f>Assumptions!$B$32/12*Q6*(1-Assumptions!$B$33*Q16)</f>
        <v>32858.072916666672</v>
      </c>
      <c r="R27" s="26">
        <f>Assumptions!$B$32/12*R6*(1-Assumptions!$B$33*R16)</f>
        <v>31645.833333333336</v>
      </c>
      <c r="S27" s="26">
        <f>Assumptions!$B$32/12*S6*(1-Assumptions!$B$33*S16)</f>
        <v>30433.59375</v>
      </c>
      <c r="T27" s="26">
        <f>Assumptions!$B$32/12*T6*(1-Assumptions!$B$33*T16)</f>
        <v>29221.354166666675</v>
      </c>
      <c r="U27" s="26">
        <f>Assumptions!$B$32/12*U6*(1-Assumptions!$B$33*U16)</f>
        <v>28009.114583333339</v>
      </c>
      <c r="V27" s="26">
        <f>Assumptions!$B$32/12*V6*(1-Assumptions!$B$33*V16)</f>
        <v>26796.875000000004</v>
      </c>
      <c r="W27" s="26">
        <f>Assumptions!$B$32/12*W6*(1-Assumptions!$B$33*W16)</f>
        <v>25584.635416666668</v>
      </c>
      <c r="X27" s="26">
        <f>Assumptions!$B$32/12*X6*(1-Assumptions!$B$33*X16)</f>
        <v>24372.395833333336</v>
      </c>
      <c r="Y27" s="26">
        <f>Assumptions!$B$32/12*Y6*(1-Assumptions!$B$33*Y16)</f>
        <v>23160.156250000007</v>
      </c>
      <c r="Z27" s="26">
        <f>Assumptions!$B$32/12*Z6*(1-Assumptions!$B$33*Z16)</f>
        <v>21947.916666666664</v>
      </c>
      <c r="AA27" s="26">
        <f>Assumptions!$B$32/12*AA6*(1-Assumptions!$B$33*AA16)</f>
        <v>70565.104166666672</v>
      </c>
      <c r="AB27" s="26">
        <f>Assumptions!$B$32/12*AB6*(1-Assumptions!$B$33*AB16)</f>
        <v>68140.625</v>
      </c>
      <c r="AC27" s="26">
        <f>Assumptions!$B$32/12*AC6*(1-Assumptions!$B$33*AC16)</f>
        <v>65716.145833333343</v>
      </c>
      <c r="AD27" s="26">
        <f>Assumptions!$B$32/12*AD6*(1-Assumptions!$B$33*AD16)</f>
        <v>63291.666666666672</v>
      </c>
      <c r="AE27" s="26">
        <f>Assumptions!$B$32/12*AE6*(1-Assumptions!$B$33*AE16)</f>
        <v>60867.1875</v>
      </c>
      <c r="AF27" s="26">
        <f>Assumptions!$B$32/12*AF6*(1-Assumptions!$B$33*AF16)</f>
        <v>58442.708333333343</v>
      </c>
      <c r="AG27" s="26">
        <f>Assumptions!$B$32/12*AG6*(1-Assumptions!$B$33*AG16)</f>
        <v>56018.229166666679</v>
      </c>
      <c r="AH27" s="26">
        <f>Assumptions!$B$32/12*AH6*(1-Assumptions!$B$33*AH16)</f>
        <v>53593.750000000007</v>
      </c>
      <c r="AI27" s="26">
        <f>Assumptions!$B$32/12*AI6*(1-Assumptions!$B$33*AI16)</f>
        <v>51169.270833333336</v>
      </c>
      <c r="AJ27" s="26">
        <f>Assumptions!$B$32/12*AJ6*(1-Assumptions!$B$33*AJ16)</f>
        <v>48744.791666666672</v>
      </c>
      <c r="AK27" s="26">
        <f>Assumptions!$B$32/12*AK6*(1-Assumptions!$B$33*AK16)</f>
        <v>46320.312500000015</v>
      </c>
      <c r="AL27" s="26">
        <f>Assumptions!$B$32/12*AL6*(1-Assumptions!$B$33*AL16)</f>
        <v>43895.83333333335</v>
      </c>
      <c r="AM27" s="26">
        <f>Assumptions!$B$32/12*AM6*(1-Assumptions!$B$33*AM16)</f>
        <v>85394.53125</v>
      </c>
      <c r="AN27" s="26">
        <f>Assumptions!$B$32/12*AN6*(1-Assumptions!$B$33*AN16)</f>
        <v>83143.229166666672</v>
      </c>
      <c r="AO27" s="26">
        <f>Assumptions!$B$32/12*AO6*(1-Assumptions!$B$33*AO16)</f>
        <v>80891.927083333343</v>
      </c>
      <c r="AP27" s="26">
        <f>Assumptions!$B$32/12*AP6*(1-Assumptions!$B$33*AP16)</f>
        <v>78640.625</v>
      </c>
      <c r="AQ27" s="26">
        <f>Assumptions!$B$32/12*AQ6*(1-Assumptions!$B$33*AQ16)</f>
        <v>76389.322916666672</v>
      </c>
      <c r="AR27" s="26">
        <f>Assumptions!$B$32/12*AR6*(1-Assumptions!$B$33*AR16)</f>
        <v>74138.020833333343</v>
      </c>
      <c r="AS27" s="26">
        <f>Assumptions!$B$32/12*AS6*(1-Assumptions!$B$33*AS16)</f>
        <v>71886.718750000015</v>
      </c>
      <c r="AT27" s="26">
        <f>Assumptions!$B$32/12*AT6*(1-Assumptions!$B$33*AT16)</f>
        <v>69635.416666666672</v>
      </c>
      <c r="AU27" s="26">
        <f>Assumptions!$B$32/12*AU6*(1-Assumptions!$B$33*AU16)</f>
        <v>67384.114583333343</v>
      </c>
      <c r="AV27" s="26">
        <f>Assumptions!$B$32/12*AV6*(1-Assumptions!$B$33*AV16)</f>
        <v>65132.812500000015</v>
      </c>
      <c r="AW27" s="26">
        <f>Assumptions!$B$32/12*AW6*(1-Assumptions!$B$33*AW16)</f>
        <v>62881.510416666679</v>
      </c>
      <c r="AX27" s="26">
        <f>Assumptions!$B$32/12*AX6*(1-Assumptions!$B$33*AX16)</f>
        <v>60630.20833333335</v>
      </c>
      <c r="AY27" s="26">
        <f>Assumptions!$B$32/12*AY6*(1-Assumptions!$B$33*AY16)</f>
        <v>129563.80208333333</v>
      </c>
      <c r="AZ27" s="26">
        <f>Assumptions!$B$32/12*AZ6*(1-Assumptions!$B$33*AZ16)</f>
        <v>125580.72916666669</v>
      </c>
      <c r="BA27" s="26">
        <f>Assumptions!$B$32/12*BA6*(1-Assumptions!$B$33*BA16)</f>
        <v>121597.65625</v>
      </c>
      <c r="BB27" s="26">
        <f>Assumptions!$B$32/12*BB6*(1-Assumptions!$B$33*BB16)</f>
        <v>117614.58333333334</v>
      </c>
      <c r="BC27" s="26">
        <f>Assumptions!$B$32/12*BC6*(1-Assumptions!$B$33*BC16)</f>
        <v>113631.51041666667</v>
      </c>
      <c r="BD27" s="26">
        <f>Assumptions!$B$32/12*BD6*(1-Assumptions!$B$33*BD16)</f>
        <v>109648.4375</v>
      </c>
      <c r="BE27" s="26">
        <f>Assumptions!$B$32/12*BE6*(1-Assumptions!$B$33*BE16)</f>
        <v>105665.36458333334</v>
      </c>
      <c r="BF27" s="26">
        <f>Assumptions!$B$32/12*BF6*(1-Assumptions!$B$33*BF16)</f>
        <v>101682.29166666666</v>
      </c>
      <c r="BG27" s="26">
        <f>Assumptions!$B$32/12*BG6*(1-Assumptions!$B$33*BG16)</f>
        <v>97699.218750000015</v>
      </c>
      <c r="BH27" s="26">
        <f>Assumptions!$B$32/12*BH6*(1-Assumptions!$B$33*BH16)</f>
        <v>93716.145833333328</v>
      </c>
      <c r="BI27" s="26">
        <f>Assumptions!$B$32/12*BI6*(1-Assumptions!$B$33*BI16)</f>
        <v>89733.072916666686</v>
      </c>
      <c r="BJ27" s="26">
        <f>Assumptions!$B$32/12*BJ6*(1-Assumptions!$B$33*BJ16)</f>
        <v>85750</v>
      </c>
      <c r="BK27" s="26">
        <f>Assumptions!$B$32/12*BK6*(1-Assumptions!$B$33*BK16)</f>
        <v>154164.06250000003</v>
      </c>
      <c r="BL27" s="26">
        <f>Assumptions!$B$32/12*BL6*(1-Assumptions!$B$33*BL16)</f>
        <v>149661.45833333337</v>
      </c>
      <c r="BM27" s="26">
        <f>Assumptions!$B$32/12*BM6*(1-Assumptions!$B$33*BM16)</f>
        <v>145158.85416666666</v>
      </c>
      <c r="BN27" s="26">
        <f>Assumptions!$B$32/12*BN6*(1-Assumptions!$B$33*BN16)</f>
        <v>140656.25</v>
      </c>
      <c r="BO27" s="26">
        <f>Assumptions!$B$32/12*BO6*(1-Assumptions!$B$33*BO16)</f>
        <v>136153.64583333334</v>
      </c>
      <c r="BP27" s="26">
        <f>Assumptions!$B$32/12*BP6*(1-Assumptions!$B$33*BP16)</f>
        <v>131651.04166666666</v>
      </c>
      <c r="BQ27" s="26">
        <f>Assumptions!$B$32/12*BQ6*(1-Assumptions!$B$33*BQ16)</f>
        <v>127148.4375</v>
      </c>
      <c r="BR27" s="26">
        <f>Assumptions!$B$32/12*BR6*(1-Assumptions!$B$33*BR16)</f>
        <v>122645.83333333334</v>
      </c>
      <c r="BS27" s="26">
        <f>Assumptions!$B$32/12*BS6*(1-Assumptions!$B$33*BS16)</f>
        <v>118143.2291666667</v>
      </c>
      <c r="BT27" s="26">
        <f>Assumptions!$B$32/12*BT6*(1-Assumptions!$B$33*BT16)</f>
        <v>113640.62500000004</v>
      </c>
      <c r="BU27" s="26">
        <f>Assumptions!$B$32/12*BU6*(1-Assumptions!$B$33*BU16)</f>
        <v>109138.02083333337</v>
      </c>
      <c r="BV27" s="26">
        <f>Assumptions!$B$32/12*BV6*(1-Assumptions!$B$33*BV16)</f>
        <v>104635.41666666667</v>
      </c>
      <c r="BW27" s="26">
        <f>Assumptions!$B$32/12*BW6*(1-Assumptions!$B$33*BW16)</f>
        <v>172356.77083333334</v>
      </c>
      <c r="BX27" s="26">
        <f>Assumptions!$B$32/12*BX6*(1-Assumptions!$B$33*BX16)</f>
        <v>167161.45833333337</v>
      </c>
      <c r="BY27" s="26">
        <f>Assumptions!$B$32/12*BY6*(1-Assumptions!$B$33*BY16)</f>
        <v>161966.14583333337</v>
      </c>
      <c r="BZ27" s="26">
        <f>Assumptions!$B$32/12*BZ6*(1-Assumptions!$B$33*BZ16)</f>
        <v>156770.83333333337</v>
      </c>
      <c r="CA27" s="26">
        <f>Assumptions!$B$32/12*CA6*(1-Assumptions!$B$33*CA16)</f>
        <v>151575.52083333337</v>
      </c>
      <c r="CB27" s="26">
        <f>Assumptions!$B$32/12*CB6*(1-Assumptions!$B$33*CB16)</f>
        <v>146380.20833333337</v>
      </c>
      <c r="CC27" s="26">
        <f>Assumptions!$B$32/12*CC6*(1-Assumptions!$B$33*CC16)</f>
        <v>141184.89583333334</v>
      </c>
      <c r="CD27" s="26">
        <f>Assumptions!$B$32/12*CD6*(1-Assumptions!$B$33*CD16)</f>
        <v>135989.58333333334</v>
      </c>
      <c r="CE27" s="26">
        <f>Assumptions!$B$32/12*CE6*(1-Assumptions!$B$33*CE16)</f>
        <v>130794.27083333336</v>
      </c>
      <c r="CF27" s="26">
        <f>Assumptions!$B$32/12*CF6*(1-Assumptions!$B$33*CF16)</f>
        <v>125598.95833333336</v>
      </c>
      <c r="CG27" s="26">
        <f>Assumptions!$B$32/12*CG6*(1-Assumptions!$B$33*CG16)</f>
        <v>120403.64583333336</v>
      </c>
      <c r="CH27" s="26">
        <f>Assumptions!$B$32/12*CH6*(1-Assumptions!$B$33*CH16)</f>
        <v>115208.33333333337</v>
      </c>
      <c r="CI27" s="26">
        <f>Assumptions!$B$32/12*CI6*(1-Assumptions!$B$33*CI16)</f>
        <v>111744.79166666667</v>
      </c>
      <c r="CJ27" s="26">
        <f>Assumptions!$B$32/12*CJ6*(1-Assumptions!$B$33*CJ16)</f>
        <v>108281.25000000003</v>
      </c>
      <c r="CK27" s="26">
        <f>Assumptions!$B$32/12*CK6*(1-Assumptions!$B$33*CK16)</f>
        <v>104817.70833333337</v>
      </c>
      <c r="CL27" s="26">
        <f>Assumptions!$B$32/12*CL6*(1-Assumptions!$B$33*CL16)</f>
        <v>101354.16666666669</v>
      </c>
      <c r="CM27" s="26">
        <f>Assumptions!$B$32/12*CM6*(1-Assumptions!$B$33*CM16)</f>
        <v>97890.625000000044</v>
      </c>
      <c r="CN27" s="26">
        <f>Assumptions!$B$32/12*CN6*(1-Assumptions!$B$33*CN16)</f>
        <v>94427.083333333343</v>
      </c>
      <c r="CO27" s="26">
        <f>Assumptions!$B$32/12*CO6*(1-Assumptions!$B$33*CO16)</f>
        <v>90963.541666666701</v>
      </c>
      <c r="CP27" s="26">
        <f>Assumptions!$B$32/12*CP6*(1-Assumptions!$B$33*CP16)</f>
        <v>87500</v>
      </c>
      <c r="CQ27" s="26">
        <f>Assumptions!$B$32/12*CQ6*(1-Assumptions!$B$33*CQ16)</f>
        <v>84036.458333333358</v>
      </c>
      <c r="CR27" s="26">
        <f>Assumptions!$B$32/12*CR6*(1-Assumptions!$B$33*CR16)</f>
        <v>80572.916666666701</v>
      </c>
      <c r="CS27" s="26">
        <f>Assumptions!$B$32/12*CS6*(1-Assumptions!$B$33*CS16)</f>
        <v>77109.375000000015</v>
      </c>
      <c r="CT27" s="26">
        <f>Assumptions!$B$32/12*CT6*(1-Assumptions!$B$33*CT16)</f>
        <v>73645.833333333372</v>
      </c>
      <c r="CU27" s="26">
        <f>Assumptions!$B$32/12*CU6*(1-Assumptions!$B$33*CU16)</f>
        <v>71914.062500000015</v>
      </c>
      <c r="CV27" s="26">
        <f>Assumptions!$B$32/12*CV6*(1-Assumptions!$B$33*CV16)</f>
        <v>70182.291666666672</v>
      </c>
      <c r="CW27" s="26">
        <f>Assumptions!$B$32/12*CW6*(1-Assumptions!$B$33*CW16)</f>
        <v>68450.520833333372</v>
      </c>
      <c r="CX27" s="26">
        <f>Assumptions!$B$32/12*CX6*(1-Assumptions!$B$33*CX16)</f>
        <v>66718.750000000029</v>
      </c>
      <c r="CY27" s="26">
        <f>Assumptions!$B$32/12*CY6*(1-Assumptions!$B$33*CY16)</f>
        <v>64986.979166666679</v>
      </c>
      <c r="CZ27" s="26">
        <f>Assumptions!$B$32/12*CZ6*(1-Assumptions!$B$33*CZ16)</f>
        <v>63255.208333333336</v>
      </c>
      <c r="DA27" s="26">
        <f>Assumptions!$B$32/12*DA6*(1-Assumptions!$B$33*DA16)</f>
        <v>61523.437500000029</v>
      </c>
      <c r="DB27" s="26">
        <f>Assumptions!$B$32/12*DB6*(1-Assumptions!$B$33*DB16)</f>
        <v>59791.666666666686</v>
      </c>
      <c r="DC27" s="26">
        <f>Assumptions!$B$32/12*DC6*(1-Assumptions!$B$33*DC16)</f>
        <v>58059.895833333343</v>
      </c>
      <c r="DD27" s="26">
        <f>Assumptions!$B$32/12*DD6*(1-Assumptions!$B$33*DD16)</f>
        <v>56328.125000000036</v>
      </c>
      <c r="DE27" s="26">
        <f>Assumptions!$B$32/12*DE6*(1-Assumptions!$B$33*DE16)</f>
        <v>54596.354166666693</v>
      </c>
      <c r="DF27" s="26">
        <f>Assumptions!$B$32/12*DF6*(1-Assumptions!$B$33*DF16)</f>
        <v>52864.583333333343</v>
      </c>
      <c r="DG27" s="26">
        <f>Assumptions!$B$32/12*DG6*(1-Assumptions!$B$33*DG16)</f>
        <v>52864.583333333343</v>
      </c>
      <c r="DH27" s="26">
        <f>Assumptions!$B$32/12*DH6*(1-Assumptions!$B$33*DH16)</f>
        <v>52864.583333333343</v>
      </c>
      <c r="DI27" s="26">
        <f>Assumptions!$B$32/12*DI6*(1-Assumptions!$B$33*DI16)</f>
        <v>52864.583333333343</v>
      </c>
      <c r="DJ27" s="26">
        <f>Assumptions!$B$32/12*DJ6*(1-Assumptions!$B$33*DJ16)</f>
        <v>52864.583333333343</v>
      </c>
      <c r="DK27" s="26">
        <f>Assumptions!$B$32/12*DK6*(1-Assumptions!$B$33*DK16)</f>
        <v>52864.583333333343</v>
      </c>
      <c r="DL27" s="26">
        <f>Assumptions!$B$32/12*DL6*(1-Assumptions!$B$33*DL16)</f>
        <v>52864.583333333343</v>
      </c>
      <c r="DM27" s="26">
        <f>Assumptions!$B$32/12*DM6*(1-Assumptions!$B$33*DM16)</f>
        <v>52864.583333333343</v>
      </c>
      <c r="DN27" s="26">
        <f>Assumptions!$B$32/12*DN6*(1-Assumptions!$B$33*DN16)</f>
        <v>52864.583333333343</v>
      </c>
      <c r="DO27" s="26">
        <f>Assumptions!$B$32/12*DO6*(1-Assumptions!$B$33*DO16)</f>
        <v>52864.583333333343</v>
      </c>
      <c r="DP27" s="26">
        <f>Assumptions!$B$32/12*DP6*(1-Assumptions!$B$33*DP16)</f>
        <v>52864.583333333343</v>
      </c>
      <c r="DQ27" s="26">
        <f>Assumptions!$B$32/12*DQ6*(1-Assumptions!$B$33*DQ16)</f>
        <v>52864.583333333343</v>
      </c>
      <c r="DR27" s="26">
        <f>Assumptions!$B$32/12*DR6*(1-Assumptions!$B$33*DR16)</f>
        <v>52864.583333333343</v>
      </c>
    </row>
    <row r="28" spans="1:122" x14ac:dyDescent="0.2">
      <c r="A28" s="9" t="s">
        <v>98</v>
      </c>
      <c r="C28" s="26">
        <f>Assumptions!$B$34*C25</f>
        <v>110.42773437499999</v>
      </c>
      <c r="D28" s="26">
        <f>Assumptions!$B$34*D25</f>
        <v>220.85546874999997</v>
      </c>
      <c r="E28" s="26">
        <f>Assumptions!$B$34*E25</f>
        <v>331.28320312500006</v>
      </c>
      <c r="F28" s="26">
        <f>Assumptions!$B$34*F25</f>
        <v>441.71093749999994</v>
      </c>
      <c r="G28" s="26">
        <f>Assumptions!$B$34*G25</f>
        <v>552.138671875</v>
      </c>
      <c r="H28" s="26">
        <f>Assumptions!$B$34*H25</f>
        <v>662.56640625000011</v>
      </c>
      <c r="I28" s="26">
        <f>Assumptions!$B$34*I25</f>
        <v>772.99414062499977</v>
      </c>
      <c r="J28" s="26">
        <f>Assumptions!$B$34*J25</f>
        <v>883.42187499999989</v>
      </c>
      <c r="K28" s="26">
        <f>Assumptions!$B$34*K25</f>
        <v>993.84960937499977</v>
      </c>
      <c r="L28" s="26">
        <f>Assumptions!$B$34*L25</f>
        <v>1104.27734375</v>
      </c>
      <c r="M28" s="26">
        <f>Assumptions!$B$34*M25</f>
        <v>1214.705078125</v>
      </c>
      <c r="N28" s="26">
        <f>Assumptions!$B$34*N25</f>
        <v>1325.1328125000002</v>
      </c>
      <c r="O28" s="26">
        <f>Assumptions!$B$34*O25</f>
        <v>1478.6273632812502</v>
      </c>
      <c r="P28" s="26">
        <f>Assumptions!$B$34*P25</f>
        <v>1592.3679296875</v>
      </c>
      <c r="Q28" s="26">
        <f>Assumptions!$B$34*Q25</f>
        <v>1706.1084960937501</v>
      </c>
      <c r="R28" s="26">
        <f>Assumptions!$B$34*R25</f>
        <v>1819.8490625000002</v>
      </c>
      <c r="S28" s="26">
        <f>Assumptions!$B$34*S25</f>
        <v>1933.5896289062505</v>
      </c>
      <c r="T28" s="26">
        <f>Assumptions!$B$34*T25</f>
        <v>2047.3301953124999</v>
      </c>
      <c r="U28" s="26">
        <f>Assumptions!$B$34*U25</f>
        <v>2161.07076171875</v>
      </c>
      <c r="V28" s="26">
        <f>Assumptions!$B$34*V25</f>
        <v>2274.8113281250003</v>
      </c>
      <c r="W28" s="26">
        <f>Assumptions!$B$34*W25</f>
        <v>2388.5518945312501</v>
      </c>
      <c r="X28" s="26">
        <f>Assumptions!$B$34*X25</f>
        <v>2502.2924609375004</v>
      </c>
      <c r="Y28" s="26">
        <f>Assumptions!$B$34*Y25</f>
        <v>2616.0330273437498</v>
      </c>
      <c r="Z28" s="26">
        <f>Assumptions!$B$34*Z25</f>
        <v>2729.7735937500001</v>
      </c>
      <c r="AA28" s="26">
        <f>Assumptions!$B$34*AA25</f>
        <v>3088.6286183593743</v>
      </c>
      <c r="AB28" s="26">
        <f>Assumptions!$B$34*AB25</f>
        <v>3326.2154351562499</v>
      </c>
      <c r="AC28" s="26">
        <f>Assumptions!$B$34*AC25</f>
        <v>3563.8022519531251</v>
      </c>
      <c r="AD28" s="26">
        <f>Assumptions!$B$34*AD25</f>
        <v>3801.3890687499998</v>
      </c>
      <c r="AE28" s="26">
        <f>Assumptions!$B$34*AE25</f>
        <v>4038.9758855468754</v>
      </c>
      <c r="AF28" s="26">
        <f>Assumptions!$B$34*AF25</f>
        <v>4276.5627023437492</v>
      </c>
      <c r="AG28" s="26">
        <f>Assumptions!$B$34*AG25</f>
        <v>4514.1495191406248</v>
      </c>
      <c r="AH28" s="26">
        <f>Assumptions!$B$34*AH25</f>
        <v>4751.7363359374995</v>
      </c>
      <c r="AI28" s="26">
        <f>Assumptions!$B$34*AI25</f>
        <v>4989.3231527343751</v>
      </c>
      <c r="AJ28" s="26">
        <f>Assumptions!$B$34*AJ25</f>
        <v>5226.9099695312507</v>
      </c>
      <c r="AK28" s="26">
        <f>Assumptions!$B$34*AK25</f>
        <v>5464.4967863281254</v>
      </c>
      <c r="AL28" s="26">
        <f>Assumptions!$B$34*AL25</f>
        <v>5702.0836031249992</v>
      </c>
      <c r="AM28" s="26">
        <f>Assumptions!$B$34*AM25</f>
        <v>6097.9270247480454</v>
      </c>
      <c r="AN28" s="26">
        <f>Assumptions!$B$34*AN25</f>
        <v>6325.0704382773429</v>
      </c>
      <c r="AO28" s="26">
        <f>Assumptions!$B$34*AO25</f>
        <v>6552.2138518066395</v>
      </c>
      <c r="AP28" s="26">
        <f>Assumptions!$B$34*AP25</f>
        <v>6779.3572653359361</v>
      </c>
      <c r="AQ28" s="26">
        <f>Assumptions!$B$34*AQ25</f>
        <v>7006.5006788652327</v>
      </c>
      <c r="AR28" s="26">
        <f>Assumptions!$B$34*AR25</f>
        <v>7233.6440923945293</v>
      </c>
      <c r="AS28" s="26">
        <f>Assumptions!$B$34*AS25</f>
        <v>7460.7875059238268</v>
      </c>
      <c r="AT28" s="26">
        <f>Assumptions!$B$34*AT25</f>
        <v>7687.9309194531224</v>
      </c>
      <c r="AU28" s="26">
        <f>Assumptions!$B$34*AU25</f>
        <v>7915.0743329824199</v>
      </c>
      <c r="AV28" s="26">
        <f>Assumptions!$B$34*AV25</f>
        <v>8142.2177465117175</v>
      </c>
      <c r="AW28" s="26">
        <f>Assumptions!$B$34*AW25</f>
        <v>8369.3611600410113</v>
      </c>
      <c r="AX28" s="26">
        <f>Assumptions!$B$34*AX25</f>
        <v>8596.5045735703115</v>
      </c>
      <c r="AY28" s="26">
        <f>Assumptions!$B$34*AY25</f>
        <v>9264.7038067588855</v>
      </c>
      <c r="AZ28" s="26">
        <f>Assumptions!$B$34*AZ25</f>
        <v>9678.4672777403503</v>
      </c>
      <c r="BA28" s="26">
        <f>Assumptions!$B$34*BA25</f>
        <v>10092.230748721815</v>
      </c>
      <c r="BB28" s="26">
        <f>Assumptions!$B$34*BB25</f>
        <v>10505.99421970328</v>
      </c>
      <c r="BC28" s="26">
        <f>Assumptions!$B$34*BC25</f>
        <v>10919.757690684748</v>
      </c>
      <c r="BD28" s="26">
        <f>Assumptions!$B$34*BD25</f>
        <v>11333.521161666211</v>
      </c>
      <c r="BE28" s="26">
        <f>Assumptions!$B$34*BE25</f>
        <v>11747.284632647676</v>
      </c>
      <c r="BF28" s="26">
        <f>Assumptions!$B$34*BF25</f>
        <v>12161.048103629138</v>
      </c>
      <c r="BG28" s="26">
        <f>Assumptions!$B$34*BG25</f>
        <v>12574.811574610605</v>
      </c>
      <c r="BH28" s="26">
        <f>Assumptions!$B$34*BH25</f>
        <v>12988.57504559207</v>
      </c>
      <c r="BI28" s="26">
        <f>Assumptions!$B$34*BI25</f>
        <v>13402.338516573534</v>
      </c>
      <c r="BJ28" s="26">
        <f>Assumptions!$B$34*BJ25</f>
        <v>13816.101987555001</v>
      </c>
      <c r="BK28" s="26">
        <f>Assumptions!$B$34*BK25</f>
        <v>14706.766832633108</v>
      </c>
      <c r="BL28" s="26">
        <f>Assumptions!$B$34*BL25</f>
        <v>15188.348618084568</v>
      </c>
      <c r="BM28" s="26">
        <f>Assumptions!$B$34*BM25</f>
        <v>15669.930403536033</v>
      </c>
      <c r="BN28" s="26">
        <f>Assumptions!$B$34*BN25</f>
        <v>16151.512188987495</v>
      </c>
      <c r="BO28" s="26">
        <f>Assumptions!$B$34*BO25</f>
        <v>16633.093974438958</v>
      </c>
      <c r="BP28" s="26">
        <f>Assumptions!$B$34*BP25</f>
        <v>17114.675759890419</v>
      </c>
      <c r="BQ28" s="26">
        <f>Assumptions!$B$34*BQ25</f>
        <v>17596.257545341879</v>
      </c>
      <c r="BR28" s="26">
        <f>Assumptions!$B$34*BR25</f>
        <v>18077.83933079334</v>
      </c>
      <c r="BS28" s="26">
        <f>Assumptions!$B$34*BS25</f>
        <v>18559.421116244801</v>
      </c>
      <c r="BT28" s="26">
        <f>Assumptions!$B$34*BT25</f>
        <v>19041.002901696265</v>
      </c>
      <c r="BU28" s="26">
        <f>Assumptions!$B$34*BU25</f>
        <v>19522.584687147726</v>
      </c>
      <c r="BV28" s="26">
        <f>Assumptions!$B$34*BV25</f>
        <v>20004.16647259919</v>
      </c>
      <c r="BW28" s="26">
        <f>Assumptions!$B$34*BW25</f>
        <v>21168.828208909865</v>
      </c>
      <c r="BX28" s="26">
        <f>Assumptions!$B$34*BX25</f>
        <v>21740.958701042568</v>
      </c>
      <c r="BY28" s="26">
        <f>Assumptions!$B$34*BY25</f>
        <v>22313.089193175267</v>
      </c>
      <c r="BZ28" s="26">
        <f>Assumptions!$B$34*BZ25</f>
        <v>22885.219685307962</v>
      </c>
      <c r="CA28" s="26">
        <f>Assumptions!$B$34*CA25</f>
        <v>23457.350177440665</v>
      </c>
      <c r="CB28" s="26">
        <f>Assumptions!$B$34*CB25</f>
        <v>24029.480669573361</v>
      </c>
      <c r="CC28" s="26">
        <f>Assumptions!$B$34*CC25</f>
        <v>24601.611161706063</v>
      </c>
      <c r="CD28" s="26">
        <f>Assumptions!$B$34*CD25</f>
        <v>25173.741653838762</v>
      </c>
      <c r="CE28" s="26">
        <f>Assumptions!$B$34*CE25</f>
        <v>25745.872145971458</v>
      </c>
      <c r="CF28" s="26">
        <f>Assumptions!$B$34*CF25</f>
        <v>26318.002638104161</v>
      </c>
      <c r="CG28" s="26">
        <f>Assumptions!$B$34*CG25</f>
        <v>26890.133130236856</v>
      </c>
      <c r="CH28" s="26">
        <f>Assumptions!$B$34*CH25</f>
        <v>27462.263622369559</v>
      </c>
      <c r="CI28" s="26">
        <f>Assumptions!$B$34*CI25</f>
        <v>28668.728843971763</v>
      </c>
      <c r="CJ28" s="26">
        <f>Assumptions!$B$34*CJ25</f>
        <v>29061.451156902884</v>
      </c>
      <c r="CK28" s="26">
        <f>Assumptions!$B$34*CK25</f>
        <v>29454.173469834004</v>
      </c>
      <c r="CL28" s="26">
        <f>Assumptions!$B$34*CL25</f>
        <v>29846.895782765125</v>
      </c>
      <c r="CM28" s="26">
        <f>Assumptions!$B$34*CM25</f>
        <v>30239.618095696245</v>
      </c>
      <c r="CN28" s="26">
        <f>Assumptions!$B$34*CN25</f>
        <v>30632.340408627366</v>
      </c>
      <c r="CO28" s="26">
        <f>Assumptions!$B$34*CO25</f>
        <v>31025.062721558486</v>
      </c>
      <c r="CP28" s="26">
        <f>Assumptions!$B$34*CP25</f>
        <v>31417.785034489607</v>
      </c>
      <c r="CQ28" s="26">
        <f>Assumptions!$B$34*CQ25</f>
        <v>31810.507347420724</v>
      </c>
      <c r="CR28" s="26">
        <f>Assumptions!$B$34*CR25</f>
        <v>32203.229660351844</v>
      </c>
      <c r="CS28" s="26">
        <f>Assumptions!$B$34*CS25</f>
        <v>32595.951973282965</v>
      </c>
      <c r="CT28" s="26">
        <f>Assumptions!$B$34*CT25</f>
        <v>32988.674286214082</v>
      </c>
      <c r="CU28" s="26">
        <f>Assumptions!$B$34*CU25</f>
        <v>34168.703693460033</v>
      </c>
      <c r="CV28" s="26">
        <f>Assumptions!$B$34*CV25</f>
        <v>34370.885372119556</v>
      </c>
      <c r="CW28" s="26">
        <f>Assumptions!$B$34*CW25</f>
        <v>34573.067050779086</v>
      </c>
      <c r="CX28" s="26">
        <f>Assumptions!$B$34*CX25</f>
        <v>34775.248729438616</v>
      </c>
      <c r="CY28" s="26">
        <f>Assumptions!$B$34*CY25</f>
        <v>34977.430408098138</v>
      </c>
      <c r="CZ28" s="26">
        <f>Assumptions!$B$34*CZ25</f>
        <v>35179.612086757668</v>
      </c>
      <c r="DA28" s="26">
        <f>Assumptions!$B$34*DA25</f>
        <v>35381.793765417198</v>
      </c>
      <c r="DB28" s="26">
        <f>Assumptions!$B$34*DB25</f>
        <v>35583.975444076721</v>
      </c>
      <c r="DC28" s="26">
        <f>Assumptions!$B$34*DC25</f>
        <v>35786.157122736244</v>
      </c>
      <c r="DD28" s="26">
        <f>Assumptions!$B$34*DD25</f>
        <v>35988.338801395781</v>
      </c>
      <c r="DE28" s="26">
        <f>Assumptions!$B$34*DE25</f>
        <v>36190.520480055304</v>
      </c>
      <c r="DF28" s="26">
        <f>Assumptions!$B$34*DF25</f>
        <v>36392.702158714827</v>
      </c>
      <c r="DG28" s="26">
        <f>Assumptions!$B$34*DG25</f>
        <v>37471.826973476273</v>
      </c>
      <c r="DH28" s="26">
        <f>Assumptions!$B$34*DH25</f>
        <v>37471.826973476273</v>
      </c>
      <c r="DI28" s="26">
        <f>Assumptions!$B$34*DI25</f>
        <v>37471.826973476273</v>
      </c>
      <c r="DJ28" s="26">
        <f>Assumptions!$B$34*DJ25</f>
        <v>37471.826973476273</v>
      </c>
      <c r="DK28" s="26">
        <f>Assumptions!$B$34*DK25</f>
        <v>37471.826973476273</v>
      </c>
      <c r="DL28" s="26">
        <f>Assumptions!$B$34*DL25</f>
        <v>37471.826973476273</v>
      </c>
      <c r="DM28" s="26">
        <f>Assumptions!$B$34*DM25</f>
        <v>37471.826973476273</v>
      </c>
      <c r="DN28" s="26">
        <f>Assumptions!$B$34*DN25</f>
        <v>37471.826973476273</v>
      </c>
      <c r="DO28" s="26">
        <f>Assumptions!$B$34*DO25</f>
        <v>37471.826973476273</v>
      </c>
      <c r="DP28" s="26">
        <f>Assumptions!$B$34*DP25</f>
        <v>37471.826973476273</v>
      </c>
      <c r="DQ28" s="26">
        <f>Assumptions!$B$34*DQ25</f>
        <v>37471.826973476273</v>
      </c>
      <c r="DR28" s="26">
        <f>Assumptions!$B$34*DR25</f>
        <v>37471.826973476273</v>
      </c>
    </row>
    <row r="29" spans="1:122" x14ac:dyDescent="0.2">
      <c r="A29" s="19" t="s">
        <v>99</v>
      </c>
      <c r="C29" s="32">
        <f t="shared" ref="C29:AH29" si="16">C25-C27-C28</f>
        <v>-46258.930338541672</v>
      </c>
      <c r="D29" s="32">
        <f t="shared" si="16"/>
        <v>-41476.194010416672</v>
      </c>
      <c r="E29" s="32">
        <f t="shared" si="16"/>
        <v>-36693.457682291672</v>
      </c>
      <c r="F29" s="32">
        <f t="shared" si="16"/>
        <v>-31910.721354166672</v>
      </c>
      <c r="G29" s="32">
        <f t="shared" si="16"/>
        <v>-27127.985026041668</v>
      </c>
      <c r="H29" s="32">
        <f t="shared" si="16"/>
        <v>-22345.248697916661</v>
      </c>
      <c r="I29" s="32">
        <f t="shared" si="16"/>
        <v>-17562.512369791675</v>
      </c>
      <c r="J29" s="32">
        <f t="shared" si="16"/>
        <v>-12779.776041666675</v>
      </c>
      <c r="K29" s="32">
        <f t="shared" si="16"/>
        <v>-7997.0397135416861</v>
      </c>
      <c r="L29" s="32">
        <f t="shared" si="16"/>
        <v>-3214.3033854166715</v>
      </c>
      <c r="M29" s="32">
        <f t="shared" si="16"/>
        <v>1568.4329427083285</v>
      </c>
      <c r="N29" s="32">
        <f t="shared" si="16"/>
        <v>6351.1692708333358</v>
      </c>
      <c r="O29" s="32">
        <f t="shared" si="16"/>
        <v>12526.399329427086</v>
      </c>
      <c r="P29" s="32">
        <f t="shared" si="16"/>
        <v>17416.250559895834</v>
      </c>
      <c r="Q29" s="32">
        <f t="shared" si="16"/>
        <v>22306.101790364584</v>
      </c>
      <c r="R29" s="32">
        <f t="shared" si="16"/>
        <v>27195.953020833334</v>
      </c>
      <c r="S29" s="32">
        <f t="shared" si="16"/>
        <v>32085.804251302099</v>
      </c>
      <c r="T29" s="32">
        <f t="shared" si="16"/>
        <v>36975.655481770831</v>
      </c>
      <c r="U29" s="32">
        <f t="shared" si="16"/>
        <v>41865.506712239578</v>
      </c>
      <c r="V29" s="32">
        <f t="shared" si="16"/>
        <v>46755.357942708346</v>
      </c>
      <c r="W29" s="32">
        <f t="shared" si="16"/>
        <v>51645.209173177092</v>
      </c>
      <c r="X29" s="32">
        <f t="shared" si="16"/>
        <v>56535.060403645854</v>
      </c>
      <c r="Y29" s="32">
        <f t="shared" si="16"/>
        <v>61424.911634114571</v>
      </c>
      <c r="Z29" s="32">
        <f t="shared" si="16"/>
        <v>66314.762864583347</v>
      </c>
      <c r="AA29" s="32">
        <f t="shared" si="16"/>
        <v>29300.554493619773</v>
      </c>
      <c r="AB29" s="32">
        <f t="shared" si="16"/>
        <v>39407.007403385418</v>
      </c>
      <c r="AC29" s="32">
        <f t="shared" si="16"/>
        <v>49513.460313151038</v>
      </c>
      <c r="AD29" s="32">
        <f t="shared" si="16"/>
        <v>59619.91322291665</v>
      </c>
      <c r="AE29" s="32">
        <f t="shared" si="16"/>
        <v>69726.366132682306</v>
      </c>
      <c r="AF29" s="32">
        <f t="shared" si="16"/>
        <v>79832.819042447882</v>
      </c>
      <c r="AG29" s="32">
        <f t="shared" si="16"/>
        <v>89939.271952213516</v>
      </c>
      <c r="AH29" s="32">
        <f t="shared" si="16"/>
        <v>100045.72486197915</v>
      </c>
      <c r="AI29" s="32">
        <f t="shared" ref="AI29:BN29" si="17">AI25-AI27-AI28</f>
        <v>110152.17777174478</v>
      </c>
      <c r="AJ29" s="32">
        <f t="shared" si="17"/>
        <v>120258.63068151043</v>
      </c>
      <c r="AK29" s="32">
        <f t="shared" si="17"/>
        <v>130365.08359127605</v>
      </c>
      <c r="AL29" s="32">
        <f t="shared" si="17"/>
        <v>140471.53650104164</v>
      </c>
      <c r="AM29" s="32">
        <f t="shared" si="17"/>
        <v>111771.77588352015</v>
      </c>
      <c r="AN29" s="32">
        <f t="shared" si="17"/>
        <v>121367.38167096741</v>
      </c>
      <c r="AO29" s="32">
        <f t="shared" si="17"/>
        <v>130962.98745841467</v>
      </c>
      <c r="AP29" s="32">
        <f t="shared" si="17"/>
        <v>140558.59324586194</v>
      </c>
      <c r="AQ29" s="32">
        <f t="shared" si="17"/>
        <v>150154.19903330918</v>
      </c>
      <c r="AR29" s="32">
        <f t="shared" si="17"/>
        <v>159749.80482075643</v>
      </c>
      <c r="AS29" s="32">
        <f t="shared" si="17"/>
        <v>169345.41060820373</v>
      </c>
      <c r="AT29" s="32">
        <f t="shared" si="17"/>
        <v>178941.01639565095</v>
      </c>
      <c r="AU29" s="32">
        <f t="shared" si="17"/>
        <v>188536.62218309825</v>
      </c>
      <c r="AV29" s="32">
        <f t="shared" si="17"/>
        <v>198132.22797054556</v>
      </c>
      <c r="AW29" s="32">
        <f t="shared" si="17"/>
        <v>207727.83375799272</v>
      </c>
      <c r="AX29" s="32">
        <f t="shared" si="17"/>
        <v>217323.43954544008</v>
      </c>
      <c r="AY29" s="32">
        <f t="shared" si="17"/>
        <v>169994.95433520401</v>
      </c>
      <c r="AZ29" s="32">
        <f t="shared" si="17"/>
        <v>187356.37948027131</v>
      </c>
      <c r="BA29" s="32">
        <f t="shared" si="17"/>
        <v>204717.8046253387</v>
      </c>
      <c r="BB29" s="32">
        <f t="shared" si="17"/>
        <v>222079.22977040603</v>
      </c>
      <c r="BC29" s="32">
        <f t="shared" si="17"/>
        <v>239440.65491547348</v>
      </c>
      <c r="BD29" s="32">
        <f t="shared" si="17"/>
        <v>256802.08006054087</v>
      </c>
      <c r="BE29" s="32">
        <f t="shared" si="17"/>
        <v>274163.50520560815</v>
      </c>
      <c r="BF29" s="32">
        <f t="shared" si="17"/>
        <v>291524.93035067548</v>
      </c>
      <c r="BG29" s="32">
        <f t="shared" si="17"/>
        <v>308886.35549574293</v>
      </c>
      <c r="BH29" s="32">
        <f t="shared" si="17"/>
        <v>326247.78064081026</v>
      </c>
      <c r="BI29" s="32">
        <f t="shared" si="17"/>
        <v>343609.2057858776</v>
      </c>
      <c r="BJ29" s="32">
        <f t="shared" si="17"/>
        <v>360970.63093094504</v>
      </c>
      <c r="BK29" s="32">
        <f t="shared" si="17"/>
        <v>321354.73175513715</v>
      </c>
      <c r="BL29" s="32">
        <f t="shared" si="17"/>
        <v>341428.48031806771</v>
      </c>
      <c r="BM29" s="32">
        <f t="shared" si="17"/>
        <v>361502.22888099839</v>
      </c>
      <c r="BN29" s="32">
        <f t="shared" si="17"/>
        <v>381575.977443929</v>
      </c>
      <c r="BO29" s="32">
        <f t="shared" ref="BO29:CT29" si="18">BO25-BO27-BO28</f>
        <v>401649.72600685956</v>
      </c>
      <c r="BP29" s="32">
        <f t="shared" si="18"/>
        <v>421723.47456979024</v>
      </c>
      <c r="BQ29" s="32">
        <f t="shared" si="18"/>
        <v>441797.2231327208</v>
      </c>
      <c r="BR29" s="32">
        <f t="shared" si="18"/>
        <v>461870.9716956513</v>
      </c>
      <c r="BS29" s="32">
        <f t="shared" si="18"/>
        <v>481944.72025858192</v>
      </c>
      <c r="BT29" s="32">
        <f t="shared" si="18"/>
        <v>502018.46882151259</v>
      </c>
      <c r="BU29" s="32">
        <f t="shared" si="18"/>
        <v>522092.21738444315</v>
      </c>
      <c r="BV29" s="32">
        <f t="shared" si="18"/>
        <v>542165.96594737389</v>
      </c>
      <c r="BW29" s="32">
        <f t="shared" si="18"/>
        <v>512102.00792141899</v>
      </c>
      <c r="BX29" s="32">
        <f t="shared" si="18"/>
        <v>535796.20633370965</v>
      </c>
      <c r="BY29" s="32">
        <f t="shared" si="18"/>
        <v>559490.40474600019</v>
      </c>
      <c r="BZ29" s="32">
        <f t="shared" si="18"/>
        <v>583184.60315829085</v>
      </c>
      <c r="CA29" s="32">
        <f t="shared" si="18"/>
        <v>606878.80157058151</v>
      </c>
      <c r="CB29" s="32">
        <f t="shared" si="18"/>
        <v>630572.99998287193</v>
      </c>
      <c r="CC29" s="32">
        <f t="shared" si="18"/>
        <v>654267.1983951627</v>
      </c>
      <c r="CD29" s="32">
        <f t="shared" si="18"/>
        <v>677961.39680745325</v>
      </c>
      <c r="CE29" s="32">
        <f t="shared" si="18"/>
        <v>701655.5952197439</v>
      </c>
      <c r="CF29" s="32">
        <f t="shared" si="18"/>
        <v>725349.79363203456</v>
      </c>
      <c r="CG29" s="32">
        <f t="shared" si="18"/>
        <v>749043.99204432499</v>
      </c>
      <c r="CH29" s="32">
        <f t="shared" si="18"/>
        <v>772738.19045661576</v>
      </c>
      <c r="CI29" s="32">
        <f t="shared" si="18"/>
        <v>815210.77428842045</v>
      </c>
      <c r="CJ29" s="32">
        <f t="shared" si="18"/>
        <v>831372.33740652655</v>
      </c>
      <c r="CK29" s="32">
        <f t="shared" si="18"/>
        <v>847533.90052463277</v>
      </c>
      <c r="CL29" s="32">
        <f t="shared" si="18"/>
        <v>863695.46364273911</v>
      </c>
      <c r="CM29" s="32">
        <f t="shared" si="18"/>
        <v>879857.02676084533</v>
      </c>
      <c r="CN29" s="32">
        <f t="shared" si="18"/>
        <v>896018.58987895143</v>
      </c>
      <c r="CO29" s="32">
        <f t="shared" si="18"/>
        <v>912180.15299705765</v>
      </c>
      <c r="CP29" s="32">
        <f t="shared" si="18"/>
        <v>928341.71611516399</v>
      </c>
      <c r="CQ29" s="32">
        <f t="shared" si="18"/>
        <v>944503.27923327009</v>
      </c>
      <c r="CR29" s="32">
        <f t="shared" si="18"/>
        <v>960664.8423513762</v>
      </c>
      <c r="CS29" s="32">
        <f t="shared" si="18"/>
        <v>976826.40546948253</v>
      </c>
      <c r="CT29" s="32">
        <f t="shared" si="18"/>
        <v>992987.96858758875</v>
      </c>
      <c r="CU29" s="32">
        <f t="shared" ref="CU29:DZ29" si="19">CU25-CU27-CU28</f>
        <v>1032874.0235885412</v>
      </c>
      <c r="CV29" s="32">
        <f t="shared" si="19"/>
        <v>1041143.0020318656</v>
      </c>
      <c r="CW29" s="32">
        <f t="shared" si="19"/>
        <v>1049411.9804751903</v>
      </c>
      <c r="CX29" s="32">
        <f t="shared" si="19"/>
        <v>1057680.9589185154</v>
      </c>
      <c r="CY29" s="32">
        <f t="shared" si="19"/>
        <v>1065949.9373618399</v>
      </c>
      <c r="CZ29" s="32">
        <f t="shared" si="19"/>
        <v>1074218.9158051647</v>
      </c>
      <c r="DA29" s="32">
        <f t="shared" si="19"/>
        <v>1082487.8942484893</v>
      </c>
      <c r="DB29" s="32">
        <f t="shared" si="19"/>
        <v>1090756.8726918139</v>
      </c>
      <c r="DC29" s="32">
        <f t="shared" si="19"/>
        <v>1099025.8511351387</v>
      </c>
      <c r="DD29" s="32">
        <f t="shared" si="19"/>
        <v>1107294.8295784635</v>
      </c>
      <c r="DE29" s="32">
        <f t="shared" si="19"/>
        <v>1115563.808021788</v>
      </c>
      <c r="DF29" s="32">
        <f t="shared" si="19"/>
        <v>1123832.7864651128</v>
      </c>
      <c r="DG29" s="32">
        <f t="shared" si="19"/>
        <v>1158724.4888090664</v>
      </c>
      <c r="DH29" s="32">
        <f t="shared" si="19"/>
        <v>1158724.4888090664</v>
      </c>
      <c r="DI29" s="32">
        <f t="shared" si="19"/>
        <v>1158724.4888090664</v>
      </c>
      <c r="DJ29" s="32">
        <f t="shared" si="19"/>
        <v>1158724.4888090664</v>
      </c>
      <c r="DK29" s="32">
        <f t="shared" si="19"/>
        <v>1158724.4888090664</v>
      </c>
      <c r="DL29" s="32">
        <f t="shared" si="19"/>
        <v>1158724.4888090664</v>
      </c>
      <c r="DM29" s="32">
        <f t="shared" si="19"/>
        <v>1158724.4888090664</v>
      </c>
      <c r="DN29" s="32">
        <f t="shared" si="19"/>
        <v>1158724.4888090664</v>
      </c>
      <c r="DO29" s="32">
        <f t="shared" si="19"/>
        <v>1158724.4888090664</v>
      </c>
      <c r="DP29" s="32">
        <f t="shared" si="19"/>
        <v>1158724.4888090664</v>
      </c>
      <c r="DQ29" s="32">
        <f t="shared" si="19"/>
        <v>1158724.4888090664</v>
      </c>
      <c r="DR29" s="32">
        <f t="shared" si="19"/>
        <v>1158724.4888090664</v>
      </c>
    </row>
    <row r="30" spans="1:122" x14ac:dyDescent="0.2">
      <c r="A30" s="9" t="s">
        <v>100</v>
      </c>
      <c r="C30" s="17">
        <f>COUNTIF(Assumptions!$C$4:$C$9,"&lt;="&amp;C2)</f>
        <v>1</v>
      </c>
      <c r="D30" s="17">
        <f>COUNTIF(Assumptions!$C$4:$C$9,"&lt;="&amp;D2)</f>
        <v>1</v>
      </c>
      <c r="E30" s="17">
        <f>COUNTIF(Assumptions!$C$4:$C$9,"&lt;="&amp;E2)</f>
        <v>1</v>
      </c>
      <c r="F30" s="17">
        <f>COUNTIF(Assumptions!$C$4:$C$9,"&lt;="&amp;F2)</f>
        <v>1</v>
      </c>
      <c r="G30" s="17">
        <f>COUNTIF(Assumptions!$C$4:$C$9,"&lt;="&amp;G2)</f>
        <v>1</v>
      </c>
      <c r="H30" s="17">
        <f>COUNTIF(Assumptions!$C$4:$C$9,"&lt;="&amp;H2)</f>
        <v>1</v>
      </c>
      <c r="I30" s="17">
        <f>COUNTIF(Assumptions!$C$4:$C$9,"&lt;="&amp;I2)</f>
        <v>1</v>
      </c>
      <c r="J30" s="17">
        <f>COUNTIF(Assumptions!$C$4:$C$9,"&lt;="&amp;J2)</f>
        <v>1</v>
      </c>
      <c r="K30" s="17">
        <f>COUNTIF(Assumptions!$C$4:$C$9,"&lt;="&amp;K2)</f>
        <v>1</v>
      </c>
      <c r="L30" s="17">
        <f>COUNTIF(Assumptions!$C$4:$C$9,"&lt;="&amp;L2)</f>
        <v>1</v>
      </c>
      <c r="M30" s="17">
        <f>COUNTIF(Assumptions!$C$4:$C$9,"&lt;="&amp;M2)</f>
        <v>1</v>
      </c>
      <c r="N30" s="17">
        <f>COUNTIF(Assumptions!$C$4:$C$9,"&lt;="&amp;N2)</f>
        <v>1</v>
      </c>
      <c r="O30" s="17">
        <f>COUNTIF(Assumptions!$C$4:$C$9,"&lt;="&amp;O2)</f>
        <v>1</v>
      </c>
      <c r="P30" s="17">
        <f>COUNTIF(Assumptions!$C$4:$C$9,"&lt;="&amp;P2)</f>
        <v>1</v>
      </c>
      <c r="Q30" s="17">
        <f>COUNTIF(Assumptions!$C$4:$C$9,"&lt;="&amp;Q2)</f>
        <v>1</v>
      </c>
      <c r="R30" s="17">
        <f>COUNTIF(Assumptions!$C$4:$C$9,"&lt;="&amp;R2)</f>
        <v>1</v>
      </c>
      <c r="S30" s="17">
        <f>COUNTIF(Assumptions!$C$4:$C$9,"&lt;="&amp;S2)</f>
        <v>1</v>
      </c>
      <c r="T30" s="17">
        <f>COUNTIF(Assumptions!$C$4:$C$9,"&lt;="&amp;T2)</f>
        <v>1</v>
      </c>
      <c r="U30" s="17">
        <f>COUNTIF(Assumptions!$C$4:$C$9,"&lt;="&amp;U2)</f>
        <v>1</v>
      </c>
      <c r="V30" s="17">
        <f>COUNTIF(Assumptions!$C$4:$C$9,"&lt;="&amp;V2)</f>
        <v>1</v>
      </c>
      <c r="W30" s="17">
        <f>COUNTIF(Assumptions!$C$4:$C$9,"&lt;="&amp;W2)</f>
        <v>1</v>
      </c>
      <c r="X30" s="17">
        <f>COUNTIF(Assumptions!$C$4:$C$9,"&lt;="&amp;X2)</f>
        <v>1</v>
      </c>
      <c r="Y30" s="17">
        <f>COUNTIF(Assumptions!$C$4:$C$9,"&lt;="&amp;Y2)</f>
        <v>1</v>
      </c>
      <c r="Z30" s="17">
        <f>COUNTIF(Assumptions!$C$4:$C$9,"&lt;="&amp;Z2)</f>
        <v>1</v>
      </c>
      <c r="AA30" s="17">
        <f>COUNTIF(Assumptions!$C$4:$C$9,"&lt;="&amp;AA2)</f>
        <v>2</v>
      </c>
      <c r="AB30" s="17">
        <f>COUNTIF(Assumptions!$C$4:$C$9,"&lt;="&amp;AB2)</f>
        <v>2</v>
      </c>
      <c r="AC30" s="17">
        <f>COUNTIF(Assumptions!$C$4:$C$9,"&lt;="&amp;AC2)</f>
        <v>2</v>
      </c>
      <c r="AD30" s="17">
        <f>COUNTIF(Assumptions!$C$4:$C$9,"&lt;="&amp;AD2)</f>
        <v>2</v>
      </c>
      <c r="AE30" s="17">
        <f>COUNTIF(Assumptions!$C$4:$C$9,"&lt;="&amp;AE2)</f>
        <v>2</v>
      </c>
      <c r="AF30" s="17">
        <f>COUNTIF(Assumptions!$C$4:$C$9,"&lt;="&amp;AF2)</f>
        <v>2</v>
      </c>
      <c r="AG30" s="17">
        <f>COUNTIF(Assumptions!$C$4:$C$9,"&lt;="&amp;AG2)</f>
        <v>2</v>
      </c>
      <c r="AH30" s="17">
        <f>COUNTIF(Assumptions!$C$4:$C$9,"&lt;="&amp;AH2)</f>
        <v>2</v>
      </c>
      <c r="AI30" s="17">
        <f>COUNTIF(Assumptions!$C$4:$C$9,"&lt;="&amp;AI2)</f>
        <v>2</v>
      </c>
      <c r="AJ30" s="17">
        <f>COUNTIF(Assumptions!$C$4:$C$9,"&lt;="&amp;AJ2)</f>
        <v>2</v>
      </c>
      <c r="AK30" s="17">
        <f>COUNTIF(Assumptions!$C$4:$C$9,"&lt;="&amp;AK2)</f>
        <v>2</v>
      </c>
      <c r="AL30" s="17">
        <f>COUNTIF(Assumptions!$C$4:$C$9,"&lt;="&amp;AL2)</f>
        <v>2</v>
      </c>
      <c r="AM30" s="17">
        <f>COUNTIF(Assumptions!$C$4:$C$9,"&lt;="&amp;AM2)</f>
        <v>3</v>
      </c>
      <c r="AN30" s="17">
        <f>COUNTIF(Assumptions!$C$4:$C$9,"&lt;="&amp;AN2)</f>
        <v>3</v>
      </c>
      <c r="AO30" s="17">
        <f>COUNTIF(Assumptions!$C$4:$C$9,"&lt;="&amp;AO2)</f>
        <v>3</v>
      </c>
      <c r="AP30" s="17">
        <f>COUNTIF(Assumptions!$C$4:$C$9,"&lt;="&amp;AP2)</f>
        <v>3</v>
      </c>
      <c r="AQ30" s="17">
        <f>COUNTIF(Assumptions!$C$4:$C$9,"&lt;="&amp;AQ2)</f>
        <v>3</v>
      </c>
      <c r="AR30" s="17">
        <f>COUNTIF(Assumptions!$C$4:$C$9,"&lt;="&amp;AR2)</f>
        <v>3</v>
      </c>
      <c r="AS30" s="17">
        <f>COUNTIF(Assumptions!$C$4:$C$9,"&lt;="&amp;AS2)</f>
        <v>3</v>
      </c>
      <c r="AT30" s="17">
        <f>COUNTIF(Assumptions!$C$4:$C$9,"&lt;="&amp;AT2)</f>
        <v>3</v>
      </c>
      <c r="AU30" s="17">
        <f>COUNTIF(Assumptions!$C$4:$C$9,"&lt;="&amp;AU2)</f>
        <v>3</v>
      </c>
      <c r="AV30" s="17">
        <f>COUNTIF(Assumptions!$C$4:$C$9,"&lt;="&amp;AV2)</f>
        <v>3</v>
      </c>
      <c r="AW30" s="17">
        <f>COUNTIF(Assumptions!$C$4:$C$9,"&lt;="&amp;AW2)</f>
        <v>3</v>
      </c>
      <c r="AX30" s="17">
        <f>COUNTIF(Assumptions!$C$4:$C$9,"&lt;="&amp;AX2)</f>
        <v>3</v>
      </c>
      <c r="AY30" s="17">
        <f>COUNTIF(Assumptions!$C$4:$C$9,"&lt;="&amp;AY2)</f>
        <v>4</v>
      </c>
      <c r="AZ30" s="17">
        <f>COUNTIF(Assumptions!$C$4:$C$9,"&lt;="&amp;AZ2)</f>
        <v>4</v>
      </c>
      <c r="BA30" s="17">
        <f>COUNTIF(Assumptions!$C$4:$C$9,"&lt;="&amp;BA2)</f>
        <v>4</v>
      </c>
      <c r="BB30" s="17">
        <f>COUNTIF(Assumptions!$C$4:$C$9,"&lt;="&amp;BB2)</f>
        <v>4</v>
      </c>
      <c r="BC30" s="17">
        <f>COUNTIF(Assumptions!$C$4:$C$9,"&lt;="&amp;BC2)</f>
        <v>4</v>
      </c>
      <c r="BD30" s="17">
        <f>COUNTIF(Assumptions!$C$4:$C$9,"&lt;="&amp;BD2)</f>
        <v>4</v>
      </c>
      <c r="BE30" s="17">
        <f>COUNTIF(Assumptions!$C$4:$C$9,"&lt;="&amp;BE2)</f>
        <v>4</v>
      </c>
      <c r="BF30" s="17">
        <f>COUNTIF(Assumptions!$C$4:$C$9,"&lt;="&amp;BF2)</f>
        <v>4</v>
      </c>
      <c r="BG30" s="17">
        <f>COUNTIF(Assumptions!$C$4:$C$9,"&lt;="&amp;BG2)</f>
        <v>4</v>
      </c>
      <c r="BH30" s="17">
        <f>COUNTIF(Assumptions!$C$4:$C$9,"&lt;="&amp;BH2)</f>
        <v>4</v>
      </c>
      <c r="BI30" s="17">
        <f>COUNTIF(Assumptions!$C$4:$C$9,"&lt;="&amp;BI2)</f>
        <v>4</v>
      </c>
      <c r="BJ30" s="17">
        <f>COUNTIF(Assumptions!$C$4:$C$9,"&lt;="&amp;BJ2)</f>
        <v>4</v>
      </c>
      <c r="BK30" s="17">
        <f>COUNTIF(Assumptions!$C$4:$C$9,"&lt;="&amp;BK2)</f>
        <v>5</v>
      </c>
      <c r="BL30" s="17">
        <f>COUNTIF(Assumptions!$C$4:$C$9,"&lt;="&amp;BL2)</f>
        <v>5</v>
      </c>
      <c r="BM30" s="17">
        <f>COUNTIF(Assumptions!$C$4:$C$9,"&lt;="&amp;BM2)</f>
        <v>5</v>
      </c>
      <c r="BN30" s="17">
        <f>COUNTIF(Assumptions!$C$4:$C$9,"&lt;="&amp;BN2)</f>
        <v>5</v>
      </c>
      <c r="BO30" s="17">
        <f>COUNTIF(Assumptions!$C$4:$C$9,"&lt;="&amp;BO2)</f>
        <v>5</v>
      </c>
      <c r="BP30" s="17">
        <f>COUNTIF(Assumptions!$C$4:$C$9,"&lt;="&amp;BP2)</f>
        <v>5</v>
      </c>
      <c r="BQ30" s="17">
        <f>COUNTIF(Assumptions!$C$4:$C$9,"&lt;="&amp;BQ2)</f>
        <v>5</v>
      </c>
      <c r="BR30" s="17">
        <f>COUNTIF(Assumptions!$C$4:$C$9,"&lt;="&amp;BR2)</f>
        <v>5</v>
      </c>
      <c r="BS30" s="17">
        <f>COUNTIF(Assumptions!$C$4:$C$9,"&lt;="&amp;BS2)</f>
        <v>5</v>
      </c>
      <c r="BT30" s="17">
        <f>COUNTIF(Assumptions!$C$4:$C$9,"&lt;="&amp;BT2)</f>
        <v>5</v>
      </c>
      <c r="BU30" s="17">
        <f>COUNTIF(Assumptions!$C$4:$C$9,"&lt;="&amp;BU2)</f>
        <v>5</v>
      </c>
      <c r="BV30" s="17">
        <f>COUNTIF(Assumptions!$C$4:$C$9,"&lt;="&amp;BV2)</f>
        <v>5</v>
      </c>
      <c r="BW30" s="17">
        <f>COUNTIF(Assumptions!$C$4:$C$9,"&lt;="&amp;BW2)</f>
        <v>6</v>
      </c>
      <c r="BX30" s="17">
        <f>COUNTIF(Assumptions!$C$4:$C$9,"&lt;="&amp;BX2)</f>
        <v>6</v>
      </c>
      <c r="BY30" s="17">
        <f>COUNTIF(Assumptions!$C$4:$C$9,"&lt;="&amp;BY2)</f>
        <v>6</v>
      </c>
      <c r="BZ30" s="17">
        <f>COUNTIF(Assumptions!$C$4:$C$9,"&lt;="&amp;BZ2)</f>
        <v>6</v>
      </c>
      <c r="CA30" s="17">
        <f>COUNTIF(Assumptions!$C$4:$C$9,"&lt;="&amp;CA2)</f>
        <v>6</v>
      </c>
      <c r="CB30" s="17">
        <f>COUNTIF(Assumptions!$C$4:$C$9,"&lt;="&amp;CB2)</f>
        <v>6</v>
      </c>
      <c r="CC30" s="17">
        <f>COUNTIF(Assumptions!$C$4:$C$9,"&lt;="&amp;CC2)</f>
        <v>6</v>
      </c>
      <c r="CD30" s="17">
        <f>COUNTIF(Assumptions!$C$4:$C$9,"&lt;="&amp;CD2)</f>
        <v>6</v>
      </c>
      <c r="CE30" s="17">
        <f>COUNTIF(Assumptions!$C$4:$C$9,"&lt;="&amp;CE2)</f>
        <v>6</v>
      </c>
      <c r="CF30" s="17">
        <f>COUNTIF(Assumptions!$C$4:$C$9,"&lt;="&amp;CF2)</f>
        <v>6</v>
      </c>
      <c r="CG30" s="17">
        <f>COUNTIF(Assumptions!$C$4:$C$9,"&lt;="&amp;CG2)</f>
        <v>6</v>
      </c>
      <c r="CH30" s="17">
        <f>COUNTIF(Assumptions!$C$4:$C$9,"&lt;="&amp;CH2)</f>
        <v>6</v>
      </c>
      <c r="CI30" s="17">
        <f>COUNTIF(Assumptions!$C$4:$C$9,"&lt;="&amp;CI2)</f>
        <v>6</v>
      </c>
      <c r="CJ30" s="17">
        <f>COUNTIF(Assumptions!$C$4:$C$9,"&lt;="&amp;CJ2)</f>
        <v>6</v>
      </c>
      <c r="CK30" s="17">
        <f>COUNTIF(Assumptions!$C$4:$C$9,"&lt;="&amp;CK2)</f>
        <v>6</v>
      </c>
      <c r="CL30" s="17">
        <f>COUNTIF(Assumptions!$C$4:$C$9,"&lt;="&amp;CL2)</f>
        <v>6</v>
      </c>
      <c r="CM30" s="17">
        <f>COUNTIF(Assumptions!$C$4:$C$9,"&lt;="&amp;CM2)</f>
        <v>6</v>
      </c>
      <c r="CN30" s="17">
        <f>COUNTIF(Assumptions!$C$4:$C$9,"&lt;="&amp;CN2)</f>
        <v>6</v>
      </c>
      <c r="CO30" s="17">
        <f>COUNTIF(Assumptions!$C$4:$C$9,"&lt;="&amp;CO2)</f>
        <v>6</v>
      </c>
      <c r="CP30" s="17">
        <f>COUNTIF(Assumptions!$C$4:$C$9,"&lt;="&amp;CP2)</f>
        <v>6</v>
      </c>
      <c r="CQ30" s="17">
        <f>COUNTIF(Assumptions!$C$4:$C$9,"&lt;="&amp;CQ2)</f>
        <v>6</v>
      </c>
      <c r="CR30" s="17">
        <f>COUNTIF(Assumptions!$C$4:$C$9,"&lt;="&amp;CR2)</f>
        <v>6</v>
      </c>
      <c r="CS30" s="17">
        <f>COUNTIF(Assumptions!$C$4:$C$9,"&lt;="&amp;CS2)</f>
        <v>6</v>
      </c>
      <c r="CT30" s="17">
        <f>COUNTIF(Assumptions!$C$4:$C$9,"&lt;="&amp;CT2)</f>
        <v>6</v>
      </c>
      <c r="CU30" s="17">
        <f>COUNTIF(Assumptions!$C$4:$C$9,"&lt;="&amp;CU2)</f>
        <v>6</v>
      </c>
      <c r="CV30" s="17">
        <f>COUNTIF(Assumptions!$C$4:$C$9,"&lt;="&amp;CV2)</f>
        <v>6</v>
      </c>
      <c r="CW30" s="17">
        <f>COUNTIF(Assumptions!$C$4:$C$9,"&lt;="&amp;CW2)</f>
        <v>6</v>
      </c>
      <c r="CX30" s="17">
        <f>COUNTIF(Assumptions!$C$4:$C$9,"&lt;="&amp;CX2)</f>
        <v>6</v>
      </c>
      <c r="CY30" s="17">
        <f>COUNTIF(Assumptions!$C$4:$C$9,"&lt;="&amp;CY2)</f>
        <v>6</v>
      </c>
      <c r="CZ30" s="17">
        <f>COUNTIF(Assumptions!$C$4:$C$9,"&lt;="&amp;CZ2)</f>
        <v>6</v>
      </c>
      <c r="DA30" s="17">
        <f>COUNTIF(Assumptions!$C$4:$C$9,"&lt;="&amp;DA2)</f>
        <v>6</v>
      </c>
      <c r="DB30" s="17">
        <f>COUNTIF(Assumptions!$C$4:$C$9,"&lt;="&amp;DB2)</f>
        <v>6</v>
      </c>
      <c r="DC30" s="17">
        <f>COUNTIF(Assumptions!$C$4:$C$9,"&lt;="&amp;DC2)</f>
        <v>6</v>
      </c>
      <c r="DD30" s="17">
        <f>COUNTIF(Assumptions!$C$4:$C$9,"&lt;="&amp;DD2)</f>
        <v>6</v>
      </c>
      <c r="DE30" s="17">
        <f>COUNTIF(Assumptions!$C$4:$C$9,"&lt;="&amp;DE2)</f>
        <v>6</v>
      </c>
      <c r="DF30" s="17">
        <f>COUNTIF(Assumptions!$C$4:$C$9,"&lt;="&amp;DF2)</f>
        <v>6</v>
      </c>
      <c r="DG30" s="17">
        <f>COUNTIF(Assumptions!$C$4:$C$9,"&lt;="&amp;DG2)</f>
        <v>6</v>
      </c>
      <c r="DH30" s="17">
        <f>COUNTIF(Assumptions!$C$4:$C$9,"&lt;="&amp;DH2)</f>
        <v>6</v>
      </c>
      <c r="DI30" s="17">
        <f>COUNTIF(Assumptions!$C$4:$C$9,"&lt;="&amp;DI2)</f>
        <v>6</v>
      </c>
      <c r="DJ30" s="17">
        <f>COUNTIF(Assumptions!$C$4:$C$9,"&lt;="&amp;DJ2)</f>
        <v>6</v>
      </c>
      <c r="DK30" s="17">
        <f>COUNTIF(Assumptions!$C$4:$C$9,"&lt;="&amp;DK2)</f>
        <v>6</v>
      </c>
      <c r="DL30" s="17">
        <f>COUNTIF(Assumptions!$C$4:$C$9,"&lt;="&amp;DL2)</f>
        <v>6</v>
      </c>
      <c r="DM30" s="17">
        <f>COUNTIF(Assumptions!$C$4:$C$9,"&lt;="&amp;DM2)</f>
        <v>6</v>
      </c>
      <c r="DN30" s="17">
        <f>COUNTIF(Assumptions!$C$4:$C$9,"&lt;="&amp;DN2)</f>
        <v>6</v>
      </c>
      <c r="DO30" s="17">
        <f>COUNTIF(Assumptions!$C$4:$C$9,"&lt;="&amp;DO2)</f>
        <v>6</v>
      </c>
      <c r="DP30" s="17">
        <f>COUNTIF(Assumptions!$C$4:$C$9,"&lt;="&amp;DP2)</f>
        <v>6</v>
      </c>
      <c r="DQ30" s="17">
        <f>COUNTIF(Assumptions!$C$4:$C$9,"&lt;="&amp;DQ2)</f>
        <v>6</v>
      </c>
      <c r="DR30" s="17">
        <f>COUNTIF(Assumptions!$C$4:$C$9,"&lt;="&amp;DR2)</f>
        <v>6</v>
      </c>
    </row>
    <row r="31" spans="1:122" x14ac:dyDescent="0.2">
      <c r="A31" s="9" t="s">
        <v>101</v>
      </c>
      <c r="C31" s="17">
        <f>COUNTIFS(Assumptions!$C$4:$C$9,"&lt;="&amp;C2,Assumptions!$C$4:$C$9,"&gt;"&amp;(C2-Assumptions!$B$26))</f>
        <v>1</v>
      </c>
      <c r="D31" s="17">
        <f>COUNTIFS(Assumptions!$C$4:$C$9,"&lt;="&amp;D2,Assumptions!$C$4:$C$9,"&gt;"&amp;(D2-Assumptions!$B$26))</f>
        <v>1</v>
      </c>
      <c r="E31" s="17">
        <f>COUNTIFS(Assumptions!$C$4:$C$9,"&lt;="&amp;E2,Assumptions!$C$4:$C$9,"&gt;"&amp;(E2-Assumptions!$B$26))</f>
        <v>1</v>
      </c>
      <c r="F31" s="17">
        <f>COUNTIFS(Assumptions!$C$4:$C$9,"&lt;="&amp;F2,Assumptions!$C$4:$C$9,"&gt;"&amp;(F2-Assumptions!$B$26))</f>
        <v>1</v>
      </c>
      <c r="G31" s="17">
        <f>COUNTIFS(Assumptions!$C$4:$C$9,"&lt;="&amp;G2,Assumptions!$C$4:$C$9,"&gt;"&amp;(G2-Assumptions!$B$26))</f>
        <v>1</v>
      </c>
      <c r="H31" s="17">
        <f>COUNTIFS(Assumptions!$C$4:$C$9,"&lt;="&amp;H2,Assumptions!$C$4:$C$9,"&gt;"&amp;(H2-Assumptions!$B$26))</f>
        <v>1</v>
      </c>
      <c r="I31" s="17">
        <f>COUNTIFS(Assumptions!$C$4:$C$9,"&lt;="&amp;I2,Assumptions!$C$4:$C$9,"&gt;"&amp;(I2-Assumptions!$B$26))</f>
        <v>1</v>
      </c>
      <c r="J31" s="17">
        <f>COUNTIFS(Assumptions!$C$4:$C$9,"&lt;="&amp;J2,Assumptions!$C$4:$C$9,"&gt;"&amp;(J2-Assumptions!$B$26))</f>
        <v>1</v>
      </c>
      <c r="K31" s="17">
        <f>COUNTIFS(Assumptions!$C$4:$C$9,"&lt;="&amp;K2,Assumptions!$C$4:$C$9,"&gt;"&amp;(K2-Assumptions!$B$26))</f>
        <v>1</v>
      </c>
      <c r="L31" s="17">
        <f>COUNTIFS(Assumptions!$C$4:$C$9,"&lt;="&amp;L2,Assumptions!$C$4:$C$9,"&gt;"&amp;(L2-Assumptions!$B$26))</f>
        <v>1</v>
      </c>
      <c r="M31" s="17">
        <f>COUNTIFS(Assumptions!$C$4:$C$9,"&lt;="&amp;M2,Assumptions!$C$4:$C$9,"&gt;"&amp;(M2-Assumptions!$B$26))</f>
        <v>1</v>
      </c>
      <c r="N31" s="17">
        <f>COUNTIFS(Assumptions!$C$4:$C$9,"&lt;="&amp;N2,Assumptions!$C$4:$C$9,"&gt;"&amp;(N2-Assumptions!$B$26))</f>
        <v>1</v>
      </c>
      <c r="O31" s="17">
        <f>COUNTIFS(Assumptions!$C$4:$C$9,"&lt;="&amp;O2,Assumptions!$C$4:$C$9,"&gt;"&amp;(O2-Assumptions!$B$26))</f>
        <v>1</v>
      </c>
      <c r="P31" s="17">
        <f>COUNTIFS(Assumptions!$C$4:$C$9,"&lt;="&amp;P2,Assumptions!$C$4:$C$9,"&gt;"&amp;(P2-Assumptions!$B$26))</f>
        <v>1</v>
      </c>
      <c r="Q31" s="17">
        <f>COUNTIFS(Assumptions!$C$4:$C$9,"&lt;="&amp;Q2,Assumptions!$C$4:$C$9,"&gt;"&amp;(Q2-Assumptions!$B$26))</f>
        <v>1</v>
      </c>
      <c r="R31" s="17">
        <f>COUNTIFS(Assumptions!$C$4:$C$9,"&lt;="&amp;R2,Assumptions!$C$4:$C$9,"&gt;"&amp;(R2-Assumptions!$B$26))</f>
        <v>1</v>
      </c>
      <c r="S31" s="17">
        <f>COUNTIFS(Assumptions!$C$4:$C$9,"&lt;="&amp;S2,Assumptions!$C$4:$C$9,"&gt;"&amp;(S2-Assumptions!$B$26))</f>
        <v>1</v>
      </c>
      <c r="T31" s="17">
        <f>COUNTIFS(Assumptions!$C$4:$C$9,"&lt;="&amp;T2,Assumptions!$C$4:$C$9,"&gt;"&amp;(T2-Assumptions!$B$26))</f>
        <v>1</v>
      </c>
      <c r="U31" s="17">
        <f>COUNTIFS(Assumptions!$C$4:$C$9,"&lt;="&amp;U2,Assumptions!$C$4:$C$9,"&gt;"&amp;(U2-Assumptions!$B$26))</f>
        <v>1</v>
      </c>
      <c r="V31" s="17">
        <f>COUNTIFS(Assumptions!$C$4:$C$9,"&lt;="&amp;V2,Assumptions!$C$4:$C$9,"&gt;"&amp;(V2-Assumptions!$B$26))</f>
        <v>1</v>
      </c>
      <c r="W31" s="17">
        <f>COUNTIFS(Assumptions!$C$4:$C$9,"&lt;="&amp;W2,Assumptions!$C$4:$C$9,"&gt;"&amp;(W2-Assumptions!$B$26))</f>
        <v>1</v>
      </c>
      <c r="X31" s="17">
        <f>COUNTIFS(Assumptions!$C$4:$C$9,"&lt;="&amp;X2,Assumptions!$C$4:$C$9,"&gt;"&amp;(X2-Assumptions!$B$26))</f>
        <v>1</v>
      </c>
      <c r="Y31" s="17">
        <f>COUNTIFS(Assumptions!$C$4:$C$9,"&lt;="&amp;Y2,Assumptions!$C$4:$C$9,"&gt;"&amp;(Y2-Assumptions!$B$26))</f>
        <v>1</v>
      </c>
      <c r="Z31" s="17">
        <f>COUNTIFS(Assumptions!$C$4:$C$9,"&lt;="&amp;Z2,Assumptions!$C$4:$C$9,"&gt;"&amp;(Z2-Assumptions!$B$26))</f>
        <v>1</v>
      </c>
      <c r="AA31" s="17">
        <f>COUNTIFS(Assumptions!$C$4:$C$9,"&lt;="&amp;AA2,Assumptions!$C$4:$C$9,"&gt;"&amp;(AA2-Assumptions!$B$26))</f>
        <v>2</v>
      </c>
      <c r="AB31" s="17">
        <f>COUNTIFS(Assumptions!$C$4:$C$9,"&lt;="&amp;AB2,Assumptions!$C$4:$C$9,"&gt;"&amp;(AB2-Assumptions!$B$26))</f>
        <v>2</v>
      </c>
      <c r="AC31" s="17">
        <f>COUNTIFS(Assumptions!$C$4:$C$9,"&lt;="&amp;AC2,Assumptions!$C$4:$C$9,"&gt;"&amp;(AC2-Assumptions!$B$26))</f>
        <v>2</v>
      </c>
      <c r="AD31" s="17">
        <f>COUNTIFS(Assumptions!$C$4:$C$9,"&lt;="&amp;AD2,Assumptions!$C$4:$C$9,"&gt;"&amp;(AD2-Assumptions!$B$26))</f>
        <v>2</v>
      </c>
      <c r="AE31" s="17">
        <f>COUNTIFS(Assumptions!$C$4:$C$9,"&lt;="&amp;AE2,Assumptions!$C$4:$C$9,"&gt;"&amp;(AE2-Assumptions!$B$26))</f>
        <v>2</v>
      </c>
      <c r="AF31" s="17">
        <f>COUNTIFS(Assumptions!$C$4:$C$9,"&lt;="&amp;AF2,Assumptions!$C$4:$C$9,"&gt;"&amp;(AF2-Assumptions!$B$26))</f>
        <v>2</v>
      </c>
      <c r="AG31" s="17">
        <f>COUNTIFS(Assumptions!$C$4:$C$9,"&lt;="&amp;AG2,Assumptions!$C$4:$C$9,"&gt;"&amp;(AG2-Assumptions!$B$26))</f>
        <v>2</v>
      </c>
      <c r="AH31" s="17">
        <f>COUNTIFS(Assumptions!$C$4:$C$9,"&lt;="&amp;AH2,Assumptions!$C$4:$C$9,"&gt;"&amp;(AH2-Assumptions!$B$26))</f>
        <v>2</v>
      </c>
      <c r="AI31" s="17">
        <f>COUNTIFS(Assumptions!$C$4:$C$9,"&lt;="&amp;AI2,Assumptions!$C$4:$C$9,"&gt;"&amp;(AI2-Assumptions!$B$26))</f>
        <v>2</v>
      </c>
      <c r="AJ31" s="17">
        <f>COUNTIFS(Assumptions!$C$4:$C$9,"&lt;="&amp;AJ2,Assumptions!$C$4:$C$9,"&gt;"&amp;(AJ2-Assumptions!$B$26))</f>
        <v>2</v>
      </c>
      <c r="AK31" s="17">
        <f>COUNTIFS(Assumptions!$C$4:$C$9,"&lt;="&amp;AK2,Assumptions!$C$4:$C$9,"&gt;"&amp;(AK2-Assumptions!$B$26))</f>
        <v>2</v>
      </c>
      <c r="AL31" s="17">
        <f>COUNTIFS(Assumptions!$C$4:$C$9,"&lt;="&amp;AL2,Assumptions!$C$4:$C$9,"&gt;"&amp;(AL2-Assumptions!$B$26))</f>
        <v>2</v>
      </c>
      <c r="AM31" s="17">
        <f>COUNTIFS(Assumptions!$C$4:$C$9,"&lt;="&amp;AM2,Assumptions!$C$4:$C$9,"&gt;"&amp;(AM2-Assumptions!$B$26))</f>
        <v>2</v>
      </c>
      <c r="AN31" s="17">
        <f>COUNTIFS(Assumptions!$C$4:$C$9,"&lt;="&amp;AN2,Assumptions!$C$4:$C$9,"&gt;"&amp;(AN2-Assumptions!$B$26))</f>
        <v>2</v>
      </c>
      <c r="AO31" s="17">
        <f>COUNTIFS(Assumptions!$C$4:$C$9,"&lt;="&amp;AO2,Assumptions!$C$4:$C$9,"&gt;"&amp;(AO2-Assumptions!$B$26))</f>
        <v>2</v>
      </c>
      <c r="AP31" s="17">
        <f>COUNTIFS(Assumptions!$C$4:$C$9,"&lt;="&amp;AP2,Assumptions!$C$4:$C$9,"&gt;"&amp;(AP2-Assumptions!$B$26))</f>
        <v>2</v>
      </c>
      <c r="AQ31" s="17">
        <f>COUNTIFS(Assumptions!$C$4:$C$9,"&lt;="&amp;AQ2,Assumptions!$C$4:$C$9,"&gt;"&amp;(AQ2-Assumptions!$B$26))</f>
        <v>2</v>
      </c>
      <c r="AR31" s="17">
        <f>COUNTIFS(Assumptions!$C$4:$C$9,"&lt;="&amp;AR2,Assumptions!$C$4:$C$9,"&gt;"&amp;(AR2-Assumptions!$B$26))</f>
        <v>2</v>
      </c>
      <c r="AS31" s="17">
        <f>COUNTIFS(Assumptions!$C$4:$C$9,"&lt;="&amp;AS2,Assumptions!$C$4:$C$9,"&gt;"&amp;(AS2-Assumptions!$B$26))</f>
        <v>2</v>
      </c>
      <c r="AT31" s="17">
        <f>COUNTIFS(Assumptions!$C$4:$C$9,"&lt;="&amp;AT2,Assumptions!$C$4:$C$9,"&gt;"&amp;(AT2-Assumptions!$B$26))</f>
        <v>2</v>
      </c>
      <c r="AU31" s="17">
        <f>COUNTIFS(Assumptions!$C$4:$C$9,"&lt;="&amp;AU2,Assumptions!$C$4:$C$9,"&gt;"&amp;(AU2-Assumptions!$B$26))</f>
        <v>2</v>
      </c>
      <c r="AV31" s="17">
        <f>COUNTIFS(Assumptions!$C$4:$C$9,"&lt;="&amp;AV2,Assumptions!$C$4:$C$9,"&gt;"&amp;(AV2-Assumptions!$B$26))</f>
        <v>2</v>
      </c>
      <c r="AW31" s="17">
        <f>COUNTIFS(Assumptions!$C$4:$C$9,"&lt;="&amp;AW2,Assumptions!$C$4:$C$9,"&gt;"&amp;(AW2-Assumptions!$B$26))</f>
        <v>2</v>
      </c>
      <c r="AX31" s="17">
        <f>COUNTIFS(Assumptions!$C$4:$C$9,"&lt;="&amp;AX2,Assumptions!$C$4:$C$9,"&gt;"&amp;(AX2-Assumptions!$B$26))</f>
        <v>2</v>
      </c>
      <c r="AY31" s="17">
        <f>COUNTIFS(Assumptions!$C$4:$C$9,"&lt;="&amp;AY2,Assumptions!$C$4:$C$9,"&gt;"&amp;(AY2-Assumptions!$B$26))</f>
        <v>3</v>
      </c>
      <c r="AZ31" s="17">
        <f>COUNTIFS(Assumptions!$C$4:$C$9,"&lt;="&amp;AZ2,Assumptions!$C$4:$C$9,"&gt;"&amp;(AZ2-Assumptions!$B$26))</f>
        <v>3</v>
      </c>
      <c r="BA31" s="17">
        <f>COUNTIFS(Assumptions!$C$4:$C$9,"&lt;="&amp;BA2,Assumptions!$C$4:$C$9,"&gt;"&amp;(BA2-Assumptions!$B$26))</f>
        <v>3</v>
      </c>
      <c r="BB31" s="17">
        <f>COUNTIFS(Assumptions!$C$4:$C$9,"&lt;="&amp;BB2,Assumptions!$C$4:$C$9,"&gt;"&amp;(BB2-Assumptions!$B$26))</f>
        <v>3</v>
      </c>
      <c r="BC31" s="17">
        <f>COUNTIFS(Assumptions!$C$4:$C$9,"&lt;="&amp;BC2,Assumptions!$C$4:$C$9,"&gt;"&amp;(BC2-Assumptions!$B$26))</f>
        <v>3</v>
      </c>
      <c r="BD31" s="17">
        <f>COUNTIFS(Assumptions!$C$4:$C$9,"&lt;="&amp;BD2,Assumptions!$C$4:$C$9,"&gt;"&amp;(BD2-Assumptions!$B$26))</f>
        <v>3</v>
      </c>
      <c r="BE31" s="17">
        <f>COUNTIFS(Assumptions!$C$4:$C$9,"&lt;="&amp;BE2,Assumptions!$C$4:$C$9,"&gt;"&amp;(BE2-Assumptions!$B$26))</f>
        <v>3</v>
      </c>
      <c r="BF31" s="17">
        <f>COUNTIFS(Assumptions!$C$4:$C$9,"&lt;="&amp;BF2,Assumptions!$C$4:$C$9,"&gt;"&amp;(BF2-Assumptions!$B$26))</f>
        <v>3</v>
      </c>
      <c r="BG31" s="17">
        <f>COUNTIFS(Assumptions!$C$4:$C$9,"&lt;="&amp;BG2,Assumptions!$C$4:$C$9,"&gt;"&amp;(BG2-Assumptions!$B$26))</f>
        <v>3</v>
      </c>
      <c r="BH31" s="17">
        <f>COUNTIFS(Assumptions!$C$4:$C$9,"&lt;="&amp;BH2,Assumptions!$C$4:$C$9,"&gt;"&amp;(BH2-Assumptions!$B$26))</f>
        <v>3</v>
      </c>
      <c r="BI31" s="17">
        <f>COUNTIFS(Assumptions!$C$4:$C$9,"&lt;="&amp;BI2,Assumptions!$C$4:$C$9,"&gt;"&amp;(BI2-Assumptions!$B$26))</f>
        <v>3</v>
      </c>
      <c r="BJ31" s="17">
        <f>COUNTIFS(Assumptions!$C$4:$C$9,"&lt;="&amp;BJ2,Assumptions!$C$4:$C$9,"&gt;"&amp;(BJ2-Assumptions!$B$26))</f>
        <v>3</v>
      </c>
      <c r="BK31" s="17">
        <f>COUNTIFS(Assumptions!$C$4:$C$9,"&lt;="&amp;BK2,Assumptions!$C$4:$C$9,"&gt;"&amp;(BK2-Assumptions!$B$26))</f>
        <v>3</v>
      </c>
      <c r="BL31" s="17">
        <f>COUNTIFS(Assumptions!$C$4:$C$9,"&lt;="&amp;BL2,Assumptions!$C$4:$C$9,"&gt;"&amp;(BL2-Assumptions!$B$26))</f>
        <v>3</v>
      </c>
      <c r="BM31" s="17">
        <f>COUNTIFS(Assumptions!$C$4:$C$9,"&lt;="&amp;BM2,Assumptions!$C$4:$C$9,"&gt;"&amp;(BM2-Assumptions!$B$26))</f>
        <v>3</v>
      </c>
      <c r="BN31" s="17">
        <f>COUNTIFS(Assumptions!$C$4:$C$9,"&lt;="&amp;BN2,Assumptions!$C$4:$C$9,"&gt;"&amp;(BN2-Assumptions!$B$26))</f>
        <v>3</v>
      </c>
      <c r="BO31" s="17">
        <f>COUNTIFS(Assumptions!$C$4:$C$9,"&lt;="&amp;BO2,Assumptions!$C$4:$C$9,"&gt;"&amp;(BO2-Assumptions!$B$26))</f>
        <v>3</v>
      </c>
      <c r="BP31" s="17">
        <f>COUNTIFS(Assumptions!$C$4:$C$9,"&lt;="&amp;BP2,Assumptions!$C$4:$C$9,"&gt;"&amp;(BP2-Assumptions!$B$26))</f>
        <v>3</v>
      </c>
      <c r="BQ31" s="17">
        <f>COUNTIFS(Assumptions!$C$4:$C$9,"&lt;="&amp;BQ2,Assumptions!$C$4:$C$9,"&gt;"&amp;(BQ2-Assumptions!$B$26))</f>
        <v>3</v>
      </c>
      <c r="BR31" s="17">
        <f>COUNTIFS(Assumptions!$C$4:$C$9,"&lt;="&amp;BR2,Assumptions!$C$4:$C$9,"&gt;"&amp;(BR2-Assumptions!$B$26))</f>
        <v>3</v>
      </c>
      <c r="BS31" s="17">
        <f>COUNTIFS(Assumptions!$C$4:$C$9,"&lt;="&amp;BS2,Assumptions!$C$4:$C$9,"&gt;"&amp;(BS2-Assumptions!$B$26))</f>
        <v>3</v>
      </c>
      <c r="BT31" s="17">
        <f>COUNTIFS(Assumptions!$C$4:$C$9,"&lt;="&amp;BT2,Assumptions!$C$4:$C$9,"&gt;"&amp;(BT2-Assumptions!$B$26))</f>
        <v>3</v>
      </c>
      <c r="BU31" s="17">
        <f>COUNTIFS(Assumptions!$C$4:$C$9,"&lt;="&amp;BU2,Assumptions!$C$4:$C$9,"&gt;"&amp;(BU2-Assumptions!$B$26))</f>
        <v>3</v>
      </c>
      <c r="BV31" s="17">
        <f>COUNTIFS(Assumptions!$C$4:$C$9,"&lt;="&amp;BV2,Assumptions!$C$4:$C$9,"&gt;"&amp;(BV2-Assumptions!$B$26))</f>
        <v>3</v>
      </c>
      <c r="BW31" s="17">
        <f>COUNTIFS(Assumptions!$C$4:$C$9,"&lt;="&amp;BW2,Assumptions!$C$4:$C$9,"&gt;"&amp;(BW2-Assumptions!$B$26))</f>
        <v>3</v>
      </c>
      <c r="BX31" s="17">
        <f>COUNTIFS(Assumptions!$C$4:$C$9,"&lt;="&amp;BX2,Assumptions!$C$4:$C$9,"&gt;"&amp;(BX2-Assumptions!$B$26))</f>
        <v>3</v>
      </c>
      <c r="BY31" s="17">
        <f>COUNTIFS(Assumptions!$C$4:$C$9,"&lt;="&amp;BY2,Assumptions!$C$4:$C$9,"&gt;"&amp;(BY2-Assumptions!$B$26))</f>
        <v>3</v>
      </c>
      <c r="BZ31" s="17">
        <f>COUNTIFS(Assumptions!$C$4:$C$9,"&lt;="&amp;BZ2,Assumptions!$C$4:$C$9,"&gt;"&amp;(BZ2-Assumptions!$B$26))</f>
        <v>3</v>
      </c>
      <c r="CA31" s="17">
        <f>COUNTIFS(Assumptions!$C$4:$C$9,"&lt;="&amp;CA2,Assumptions!$C$4:$C$9,"&gt;"&amp;(CA2-Assumptions!$B$26))</f>
        <v>3</v>
      </c>
      <c r="CB31" s="17">
        <f>COUNTIFS(Assumptions!$C$4:$C$9,"&lt;="&amp;CB2,Assumptions!$C$4:$C$9,"&gt;"&amp;(CB2-Assumptions!$B$26))</f>
        <v>3</v>
      </c>
      <c r="CC31" s="17">
        <f>COUNTIFS(Assumptions!$C$4:$C$9,"&lt;="&amp;CC2,Assumptions!$C$4:$C$9,"&gt;"&amp;(CC2-Assumptions!$B$26))</f>
        <v>3</v>
      </c>
      <c r="CD31" s="17">
        <f>COUNTIFS(Assumptions!$C$4:$C$9,"&lt;="&amp;CD2,Assumptions!$C$4:$C$9,"&gt;"&amp;(CD2-Assumptions!$B$26))</f>
        <v>3</v>
      </c>
      <c r="CE31" s="17">
        <f>COUNTIFS(Assumptions!$C$4:$C$9,"&lt;="&amp;CE2,Assumptions!$C$4:$C$9,"&gt;"&amp;(CE2-Assumptions!$B$26))</f>
        <v>3</v>
      </c>
      <c r="CF31" s="17">
        <f>COUNTIFS(Assumptions!$C$4:$C$9,"&lt;="&amp;CF2,Assumptions!$C$4:$C$9,"&gt;"&amp;(CF2-Assumptions!$B$26))</f>
        <v>3</v>
      </c>
      <c r="CG31" s="17">
        <f>COUNTIFS(Assumptions!$C$4:$C$9,"&lt;="&amp;CG2,Assumptions!$C$4:$C$9,"&gt;"&amp;(CG2-Assumptions!$B$26))</f>
        <v>3</v>
      </c>
      <c r="CH31" s="17">
        <f>COUNTIFS(Assumptions!$C$4:$C$9,"&lt;="&amp;CH2,Assumptions!$C$4:$C$9,"&gt;"&amp;(CH2-Assumptions!$B$26))</f>
        <v>3</v>
      </c>
      <c r="CI31" s="17">
        <f>COUNTIFS(Assumptions!$C$4:$C$9,"&lt;="&amp;CI2,Assumptions!$C$4:$C$9,"&gt;"&amp;(CI2-Assumptions!$B$26))</f>
        <v>2</v>
      </c>
      <c r="CJ31" s="17">
        <f>COUNTIFS(Assumptions!$C$4:$C$9,"&lt;="&amp;CJ2,Assumptions!$C$4:$C$9,"&gt;"&amp;(CJ2-Assumptions!$B$26))</f>
        <v>2</v>
      </c>
      <c r="CK31" s="17">
        <f>COUNTIFS(Assumptions!$C$4:$C$9,"&lt;="&amp;CK2,Assumptions!$C$4:$C$9,"&gt;"&amp;(CK2-Assumptions!$B$26))</f>
        <v>2</v>
      </c>
      <c r="CL31" s="17">
        <f>COUNTIFS(Assumptions!$C$4:$C$9,"&lt;="&amp;CL2,Assumptions!$C$4:$C$9,"&gt;"&amp;(CL2-Assumptions!$B$26))</f>
        <v>2</v>
      </c>
      <c r="CM31" s="17">
        <f>COUNTIFS(Assumptions!$C$4:$C$9,"&lt;="&amp;CM2,Assumptions!$C$4:$C$9,"&gt;"&amp;(CM2-Assumptions!$B$26))</f>
        <v>2</v>
      </c>
      <c r="CN31" s="17">
        <f>COUNTIFS(Assumptions!$C$4:$C$9,"&lt;="&amp;CN2,Assumptions!$C$4:$C$9,"&gt;"&amp;(CN2-Assumptions!$B$26))</f>
        <v>2</v>
      </c>
      <c r="CO31" s="17">
        <f>COUNTIFS(Assumptions!$C$4:$C$9,"&lt;="&amp;CO2,Assumptions!$C$4:$C$9,"&gt;"&amp;(CO2-Assumptions!$B$26))</f>
        <v>2</v>
      </c>
      <c r="CP31" s="17">
        <f>COUNTIFS(Assumptions!$C$4:$C$9,"&lt;="&amp;CP2,Assumptions!$C$4:$C$9,"&gt;"&amp;(CP2-Assumptions!$B$26))</f>
        <v>2</v>
      </c>
      <c r="CQ31" s="17">
        <f>COUNTIFS(Assumptions!$C$4:$C$9,"&lt;="&amp;CQ2,Assumptions!$C$4:$C$9,"&gt;"&amp;(CQ2-Assumptions!$B$26))</f>
        <v>2</v>
      </c>
      <c r="CR31" s="17">
        <f>COUNTIFS(Assumptions!$C$4:$C$9,"&lt;="&amp;CR2,Assumptions!$C$4:$C$9,"&gt;"&amp;(CR2-Assumptions!$B$26))</f>
        <v>2</v>
      </c>
      <c r="CS31" s="17">
        <f>COUNTIFS(Assumptions!$C$4:$C$9,"&lt;="&amp;CS2,Assumptions!$C$4:$C$9,"&gt;"&amp;(CS2-Assumptions!$B$26))</f>
        <v>2</v>
      </c>
      <c r="CT31" s="17">
        <f>COUNTIFS(Assumptions!$C$4:$C$9,"&lt;="&amp;CT2,Assumptions!$C$4:$C$9,"&gt;"&amp;(CT2-Assumptions!$B$26))</f>
        <v>2</v>
      </c>
      <c r="CU31" s="17">
        <f>COUNTIFS(Assumptions!$C$4:$C$9,"&lt;="&amp;CU2,Assumptions!$C$4:$C$9,"&gt;"&amp;(CU2-Assumptions!$B$26))</f>
        <v>1</v>
      </c>
      <c r="CV31" s="17">
        <f>COUNTIFS(Assumptions!$C$4:$C$9,"&lt;="&amp;CV2,Assumptions!$C$4:$C$9,"&gt;"&amp;(CV2-Assumptions!$B$26))</f>
        <v>1</v>
      </c>
      <c r="CW31" s="17">
        <f>COUNTIFS(Assumptions!$C$4:$C$9,"&lt;="&amp;CW2,Assumptions!$C$4:$C$9,"&gt;"&amp;(CW2-Assumptions!$B$26))</f>
        <v>1</v>
      </c>
      <c r="CX31" s="17">
        <f>COUNTIFS(Assumptions!$C$4:$C$9,"&lt;="&amp;CX2,Assumptions!$C$4:$C$9,"&gt;"&amp;(CX2-Assumptions!$B$26))</f>
        <v>1</v>
      </c>
      <c r="CY31" s="17">
        <f>COUNTIFS(Assumptions!$C$4:$C$9,"&lt;="&amp;CY2,Assumptions!$C$4:$C$9,"&gt;"&amp;(CY2-Assumptions!$B$26))</f>
        <v>1</v>
      </c>
      <c r="CZ31" s="17">
        <f>COUNTIFS(Assumptions!$C$4:$C$9,"&lt;="&amp;CZ2,Assumptions!$C$4:$C$9,"&gt;"&amp;(CZ2-Assumptions!$B$26))</f>
        <v>1</v>
      </c>
      <c r="DA31" s="17">
        <f>COUNTIFS(Assumptions!$C$4:$C$9,"&lt;="&amp;DA2,Assumptions!$C$4:$C$9,"&gt;"&amp;(DA2-Assumptions!$B$26))</f>
        <v>1</v>
      </c>
      <c r="DB31" s="17">
        <f>COUNTIFS(Assumptions!$C$4:$C$9,"&lt;="&amp;DB2,Assumptions!$C$4:$C$9,"&gt;"&amp;(DB2-Assumptions!$B$26))</f>
        <v>1</v>
      </c>
      <c r="DC31" s="17">
        <f>COUNTIFS(Assumptions!$C$4:$C$9,"&lt;="&amp;DC2,Assumptions!$C$4:$C$9,"&gt;"&amp;(DC2-Assumptions!$B$26))</f>
        <v>1</v>
      </c>
      <c r="DD31" s="17">
        <f>COUNTIFS(Assumptions!$C$4:$C$9,"&lt;="&amp;DD2,Assumptions!$C$4:$C$9,"&gt;"&amp;(DD2-Assumptions!$B$26))</f>
        <v>1</v>
      </c>
      <c r="DE31" s="17">
        <f>COUNTIFS(Assumptions!$C$4:$C$9,"&lt;="&amp;DE2,Assumptions!$C$4:$C$9,"&gt;"&amp;(DE2-Assumptions!$B$26))</f>
        <v>1</v>
      </c>
      <c r="DF31" s="17">
        <f>COUNTIFS(Assumptions!$C$4:$C$9,"&lt;="&amp;DF2,Assumptions!$C$4:$C$9,"&gt;"&amp;(DF2-Assumptions!$B$26))</f>
        <v>1</v>
      </c>
      <c r="DG31" s="17">
        <f>COUNTIFS(Assumptions!$C$4:$C$9,"&lt;="&amp;DG2,Assumptions!$C$4:$C$9,"&gt;"&amp;(DG2-Assumptions!$B$26))</f>
        <v>0</v>
      </c>
      <c r="DH31" s="17">
        <f>COUNTIFS(Assumptions!$C$4:$C$9,"&lt;="&amp;DH2,Assumptions!$C$4:$C$9,"&gt;"&amp;(DH2-Assumptions!$B$26))</f>
        <v>0</v>
      </c>
      <c r="DI31" s="17">
        <f>COUNTIFS(Assumptions!$C$4:$C$9,"&lt;="&amp;DI2,Assumptions!$C$4:$C$9,"&gt;"&amp;(DI2-Assumptions!$B$26))</f>
        <v>0</v>
      </c>
      <c r="DJ31" s="17">
        <f>COUNTIFS(Assumptions!$C$4:$C$9,"&lt;="&amp;DJ2,Assumptions!$C$4:$C$9,"&gt;"&amp;(DJ2-Assumptions!$B$26))</f>
        <v>0</v>
      </c>
      <c r="DK31" s="17">
        <f>COUNTIFS(Assumptions!$C$4:$C$9,"&lt;="&amp;DK2,Assumptions!$C$4:$C$9,"&gt;"&amp;(DK2-Assumptions!$B$26))</f>
        <v>0</v>
      </c>
      <c r="DL31" s="17">
        <f>COUNTIFS(Assumptions!$C$4:$C$9,"&lt;="&amp;DL2,Assumptions!$C$4:$C$9,"&gt;"&amp;(DL2-Assumptions!$B$26))</f>
        <v>0</v>
      </c>
      <c r="DM31" s="17">
        <f>COUNTIFS(Assumptions!$C$4:$C$9,"&lt;="&amp;DM2,Assumptions!$C$4:$C$9,"&gt;"&amp;(DM2-Assumptions!$B$26))</f>
        <v>0</v>
      </c>
      <c r="DN31" s="17">
        <f>COUNTIFS(Assumptions!$C$4:$C$9,"&lt;="&amp;DN2,Assumptions!$C$4:$C$9,"&gt;"&amp;(DN2-Assumptions!$B$26))</f>
        <v>0</v>
      </c>
      <c r="DO31" s="17">
        <f>COUNTIFS(Assumptions!$C$4:$C$9,"&lt;="&amp;DO2,Assumptions!$C$4:$C$9,"&gt;"&amp;(DO2-Assumptions!$B$26))</f>
        <v>0</v>
      </c>
      <c r="DP31" s="17">
        <f>COUNTIFS(Assumptions!$C$4:$C$9,"&lt;="&amp;DP2,Assumptions!$C$4:$C$9,"&gt;"&amp;(DP2-Assumptions!$B$26))</f>
        <v>0</v>
      </c>
      <c r="DQ31" s="17">
        <f>COUNTIFS(Assumptions!$C$4:$C$9,"&lt;="&amp;DQ2,Assumptions!$C$4:$C$9,"&gt;"&amp;(DQ2-Assumptions!$B$26))</f>
        <v>0</v>
      </c>
      <c r="DR31" s="17">
        <f>COUNTIFS(Assumptions!$C$4:$C$9,"&lt;="&amp;DR2,Assumptions!$C$4:$C$9,"&gt;"&amp;(DR2-Assumptions!$B$26))</f>
        <v>0</v>
      </c>
    </row>
    <row r="32" spans="1:122" x14ac:dyDescent="0.2">
      <c r="A32" s="9" t="s">
        <v>102</v>
      </c>
      <c r="C32" s="26">
        <f>(Assumptions!$B$35+Assumptions!$B$36*MAX(0,C30-1))/12</f>
        <v>25000</v>
      </c>
      <c r="D32" s="26">
        <f>(Assumptions!$B$35+Assumptions!$B$36*MAX(0,D30-1))/12</f>
        <v>25000</v>
      </c>
      <c r="E32" s="26">
        <f>(Assumptions!$B$35+Assumptions!$B$36*MAX(0,E30-1))/12</f>
        <v>25000</v>
      </c>
      <c r="F32" s="26">
        <f>(Assumptions!$B$35+Assumptions!$B$36*MAX(0,F30-1))/12</f>
        <v>25000</v>
      </c>
      <c r="G32" s="26">
        <f>(Assumptions!$B$35+Assumptions!$B$36*MAX(0,G30-1))/12</f>
        <v>25000</v>
      </c>
      <c r="H32" s="26">
        <f>(Assumptions!$B$35+Assumptions!$B$36*MAX(0,H30-1))/12</f>
        <v>25000</v>
      </c>
      <c r="I32" s="26">
        <f>(Assumptions!$B$35+Assumptions!$B$36*MAX(0,I30-1))/12</f>
        <v>25000</v>
      </c>
      <c r="J32" s="26">
        <f>(Assumptions!$B$35+Assumptions!$B$36*MAX(0,J30-1))/12</f>
        <v>25000</v>
      </c>
      <c r="K32" s="26">
        <f>(Assumptions!$B$35+Assumptions!$B$36*MAX(0,K30-1))/12</f>
        <v>25000</v>
      </c>
      <c r="L32" s="26">
        <f>(Assumptions!$B$35+Assumptions!$B$36*MAX(0,L30-1))/12</f>
        <v>25000</v>
      </c>
      <c r="M32" s="26">
        <f>(Assumptions!$B$35+Assumptions!$B$36*MAX(0,M30-1))/12</f>
        <v>25000</v>
      </c>
      <c r="N32" s="26">
        <f>(Assumptions!$B$35+Assumptions!$B$36*MAX(0,N30-1))/12</f>
        <v>25000</v>
      </c>
      <c r="O32" s="26">
        <f>(Assumptions!$B$35+Assumptions!$B$36*MAX(0,O30-1))/12</f>
        <v>25000</v>
      </c>
      <c r="P32" s="26">
        <f>(Assumptions!$B$35+Assumptions!$B$36*MAX(0,P30-1))/12</f>
        <v>25000</v>
      </c>
      <c r="Q32" s="26">
        <f>(Assumptions!$B$35+Assumptions!$B$36*MAX(0,Q30-1))/12</f>
        <v>25000</v>
      </c>
      <c r="R32" s="26">
        <f>(Assumptions!$B$35+Assumptions!$B$36*MAX(0,R30-1))/12</f>
        <v>25000</v>
      </c>
      <c r="S32" s="26">
        <f>(Assumptions!$B$35+Assumptions!$B$36*MAX(0,S30-1))/12</f>
        <v>25000</v>
      </c>
      <c r="T32" s="26">
        <f>(Assumptions!$B$35+Assumptions!$B$36*MAX(0,T30-1))/12</f>
        <v>25000</v>
      </c>
      <c r="U32" s="26">
        <f>(Assumptions!$B$35+Assumptions!$B$36*MAX(0,U30-1))/12</f>
        <v>25000</v>
      </c>
      <c r="V32" s="26">
        <f>(Assumptions!$B$35+Assumptions!$B$36*MAX(0,V30-1))/12</f>
        <v>25000</v>
      </c>
      <c r="W32" s="26">
        <f>(Assumptions!$B$35+Assumptions!$B$36*MAX(0,W30-1))/12</f>
        <v>25000</v>
      </c>
      <c r="X32" s="26">
        <f>(Assumptions!$B$35+Assumptions!$B$36*MAX(0,X30-1))/12</f>
        <v>25000</v>
      </c>
      <c r="Y32" s="26">
        <f>(Assumptions!$B$35+Assumptions!$B$36*MAX(0,Y30-1))/12</f>
        <v>25000</v>
      </c>
      <c r="Z32" s="26">
        <f>(Assumptions!$B$35+Assumptions!$B$36*MAX(0,Z30-1))/12</f>
        <v>25000</v>
      </c>
      <c r="AA32" s="26">
        <f>(Assumptions!$B$35+Assumptions!$B$36*MAX(0,AA30-1))/12</f>
        <v>31250</v>
      </c>
      <c r="AB32" s="26">
        <f>(Assumptions!$B$35+Assumptions!$B$36*MAX(0,AB30-1))/12</f>
        <v>31250</v>
      </c>
      <c r="AC32" s="26">
        <f>(Assumptions!$B$35+Assumptions!$B$36*MAX(0,AC30-1))/12</f>
        <v>31250</v>
      </c>
      <c r="AD32" s="26">
        <f>(Assumptions!$B$35+Assumptions!$B$36*MAX(0,AD30-1))/12</f>
        <v>31250</v>
      </c>
      <c r="AE32" s="26">
        <f>(Assumptions!$B$35+Assumptions!$B$36*MAX(0,AE30-1))/12</f>
        <v>31250</v>
      </c>
      <c r="AF32" s="26">
        <f>(Assumptions!$B$35+Assumptions!$B$36*MAX(0,AF30-1))/12</f>
        <v>31250</v>
      </c>
      <c r="AG32" s="26">
        <f>(Assumptions!$B$35+Assumptions!$B$36*MAX(0,AG30-1))/12</f>
        <v>31250</v>
      </c>
      <c r="AH32" s="26">
        <f>(Assumptions!$B$35+Assumptions!$B$36*MAX(0,AH30-1))/12</f>
        <v>31250</v>
      </c>
      <c r="AI32" s="26">
        <f>(Assumptions!$B$35+Assumptions!$B$36*MAX(0,AI30-1))/12</f>
        <v>31250</v>
      </c>
      <c r="AJ32" s="26">
        <f>(Assumptions!$B$35+Assumptions!$B$36*MAX(0,AJ30-1))/12</f>
        <v>31250</v>
      </c>
      <c r="AK32" s="26">
        <f>(Assumptions!$B$35+Assumptions!$B$36*MAX(0,AK30-1))/12</f>
        <v>31250</v>
      </c>
      <c r="AL32" s="26">
        <f>(Assumptions!$B$35+Assumptions!$B$36*MAX(0,AL30-1))/12</f>
        <v>31250</v>
      </c>
      <c r="AM32" s="26">
        <f>(Assumptions!$B$35+Assumptions!$B$36*MAX(0,AM30-1))/12</f>
        <v>37500</v>
      </c>
      <c r="AN32" s="26">
        <f>(Assumptions!$B$35+Assumptions!$B$36*MAX(0,AN30-1))/12</f>
        <v>37500</v>
      </c>
      <c r="AO32" s="26">
        <f>(Assumptions!$B$35+Assumptions!$B$36*MAX(0,AO30-1))/12</f>
        <v>37500</v>
      </c>
      <c r="AP32" s="26">
        <f>(Assumptions!$B$35+Assumptions!$B$36*MAX(0,AP30-1))/12</f>
        <v>37500</v>
      </c>
      <c r="AQ32" s="26">
        <f>(Assumptions!$B$35+Assumptions!$B$36*MAX(0,AQ30-1))/12</f>
        <v>37500</v>
      </c>
      <c r="AR32" s="26">
        <f>(Assumptions!$B$35+Assumptions!$B$36*MAX(0,AR30-1))/12</f>
        <v>37500</v>
      </c>
      <c r="AS32" s="26">
        <f>(Assumptions!$B$35+Assumptions!$B$36*MAX(0,AS30-1))/12</f>
        <v>37500</v>
      </c>
      <c r="AT32" s="26">
        <f>(Assumptions!$B$35+Assumptions!$B$36*MAX(0,AT30-1))/12</f>
        <v>37500</v>
      </c>
      <c r="AU32" s="26">
        <f>(Assumptions!$B$35+Assumptions!$B$36*MAX(0,AU30-1))/12</f>
        <v>37500</v>
      </c>
      <c r="AV32" s="26">
        <f>(Assumptions!$B$35+Assumptions!$B$36*MAX(0,AV30-1))/12</f>
        <v>37500</v>
      </c>
      <c r="AW32" s="26">
        <f>(Assumptions!$B$35+Assumptions!$B$36*MAX(0,AW30-1))/12</f>
        <v>37500</v>
      </c>
      <c r="AX32" s="26">
        <f>(Assumptions!$B$35+Assumptions!$B$36*MAX(0,AX30-1))/12</f>
        <v>37500</v>
      </c>
      <c r="AY32" s="26">
        <f>(Assumptions!$B$35+Assumptions!$B$36*MAX(0,AY30-1))/12</f>
        <v>43750</v>
      </c>
      <c r="AZ32" s="26">
        <f>(Assumptions!$B$35+Assumptions!$B$36*MAX(0,AZ30-1))/12</f>
        <v>43750</v>
      </c>
      <c r="BA32" s="26">
        <f>(Assumptions!$B$35+Assumptions!$B$36*MAX(0,BA30-1))/12</f>
        <v>43750</v>
      </c>
      <c r="BB32" s="26">
        <f>(Assumptions!$B$35+Assumptions!$B$36*MAX(0,BB30-1))/12</f>
        <v>43750</v>
      </c>
      <c r="BC32" s="26">
        <f>(Assumptions!$B$35+Assumptions!$B$36*MAX(0,BC30-1))/12</f>
        <v>43750</v>
      </c>
      <c r="BD32" s="26">
        <f>(Assumptions!$B$35+Assumptions!$B$36*MAX(0,BD30-1))/12</f>
        <v>43750</v>
      </c>
      <c r="BE32" s="26">
        <f>(Assumptions!$B$35+Assumptions!$B$36*MAX(0,BE30-1))/12</f>
        <v>43750</v>
      </c>
      <c r="BF32" s="26">
        <f>(Assumptions!$B$35+Assumptions!$B$36*MAX(0,BF30-1))/12</f>
        <v>43750</v>
      </c>
      <c r="BG32" s="26">
        <f>(Assumptions!$B$35+Assumptions!$B$36*MAX(0,BG30-1))/12</f>
        <v>43750</v>
      </c>
      <c r="BH32" s="26">
        <f>(Assumptions!$B$35+Assumptions!$B$36*MAX(0,BH30-1))/12</f>
        <v>43750</v>
      </c>
      <c r="BI32" s="26">
        <f>(Assumptions!$B$35+Assumptions!$B$36*MAX(0,BI30-1))/12</f>
        <v>43750</v>
      </c>
      <c r="BJ32" s="26">
        <f>(Assumptions!$B$35+Assumptions!$B$36*MAX(0,BJ30-1))/12</f>
        <v>43750</v>
      </c>
      <c r="BK32" s="26">
        <f>(Assumptions!$B$35+Assumptions!$B$36*MAX(0,BK30-1))/12</f>
        <v>50000</v>
      </c>
      <c r="BL32" s="26">
        <f>(Assumptions!$B$35+Assumptions!$B$36*MAX(0,BL30-1))/12</f>
        <v>50000</v>
      </c>
      <c r="BM32" s="26">
        <f>(Assumptions!$B$35+Assumptions!$B$36*MAX(0,BM30-1))/12</f>
        <v>50000</v>
      </c>
      <c r="BN32" s="26">
        <f>(Assumptions!$B$35+Assumptions!$B$36*MAX(0,BN30-1))/12</f>
        <v>50000</v>
      </c>
      <c r="BO32" s="26">
        <f>(Assumptions!$B$35+Assumptions!$B$36*MAX(0,BO30-1))/12</f>
        <v>50000</v>
      </c>
      <c r="BP32" s="26">
        <f>(Assumptions!$B$35+Assumptions!$B$36*MAX(0,BP30-1))/12</f>
        <v>50000</v>
      </c>
      <c r="BQ32" s="26">
        <f>(Assumptions!$B$35+Assumptions!$B$36*MAX(0,BQ30-1))/12</f>
        <v>50000</v>
      </c>
      <c r="BR32" s="26">
        <f>(Assumptions!$B$35+Assumptions!$B$36*MAX(0,BR30-1))/12</f>
        <v>50000</v>
      </c>
      <c r="BS32" s="26">
        <f>(Assumptions!$B$35+Assumptions!$B$36*MAX(0,BS30-1))/12</f>
        <v>50000</v>
      </c>
      <c r="BT32" s="26">
        <f>(Assumptions!$B$35+Assumptions!$B$36*MAX(0,BT30-1))/12</f>
        <v>50000</v>
      </c>
      <c r="BU32" s="26">
        <f>(Assumptions!$B$35+Assumptions!$B$36*MAX(0,BU30-1))/12</f>
        <v>50000</v>
      </c>
      <c r="BV32" s="26">
        <f>(Assumptions!$B$35+Assumptions!$B$36*MAX(0,BV30-1))/12</f>
        <v>50000</v>
      </c>
      <c r="BW32" s="26">
        <f>(Assumptions!$B$35+Assumptions!$B$36*MAX(0,BW30-1))/12</f>
        <v>56250</v>
      </c>
      <c r="BX32" s="26">
        <f>(Assumptions!$B$35+Assumptions!$B$36*MAX(0,BX30-1))/12</f>
        <v>56250</v>
      </c>
      <c r="BY32" s="26">
        <f>(Assumptions!$B$35+Assumptions!$B$36*MAX(0,BY30-1))/12</f>
        <v>56250</v>
      </c>
      <c r="BZ32" s="26">
        <f>(Assumptions!$B$35+Assumptions!$B$36*MAX(0,BZ30-1))/12</f>
        <v>56250</v>
      </c>
      <c r="CA32" s="26">
        <f>(Assumptions!$B$35+Assumptions!$B$36*MAX(0,CA30-1))/12</f>
        <v>56250</v>
      </c>
      <c r="CB32" s="26">
        <f>(Assumptions!$B$35+Assumptions!$B$36*MAX(0,CB30-1))/12</f>
        <v>56250</v>
      </c>
      <c r="CC32" s="26">
        <f>(Assumptions!$B$35+Assumptions!$B$36*MAX(0,CC30-1))/12</f>
        <v>56250</v>
      </c>
      <c r="CD32" s="26">
        <f>(Assumptions!$B$35+Assumptions!$B$36*MAX(0,CD30-1))/12</f>
        <v>56250</v>
      </c>
      <c r="CE32" s="26">
        <f>(Assumptions!$B$35+Assumptions!$B$36*MAX(0,CE30-1))/12</f>
        <v>56250</v>
      </c>
      <c r="CF32" s="26">
        <f>(Assumptions!$B$35+Assumptions!$B$36*MAX(0,CF30-1))/12</f>
        <v>56250</v>
      </c>
      <c r="CG32" s="26">
        <f>(Assumptions!$B$35+Assumptions!$B$36*MAX(0,CG30-1))/12</f>
        <v>56250</v>
      </c>
      <c r="CH32" s="26">
        <f>(Assumptions!$B$35+Assumptions!$B$36*MAX(0,CH30-1))/12</f>
        <v>56250</v>
      </c>
      <c r="CI32" s="26">
        <f>(Assumptions!$B$35+Assumptions!$B$36*MAX(0,CI30-1))/12</f>
        <v>56250</v>
      </c>
      <c r="CJ32" s="26">
        <f>(Assumptions!$B$35+Assumptions!$B$36*MAX(0,CJ30-1))/12</f>
        <v>56250</v>
      </c>
      <c r="CK32" s="26">
        <f>(Assumptions!$B$35+Assumptions!$B$36*MAX(0,CK30-1))/12</f>
        <v>56250</v>
      </c>
      <c r="CL32" s="26">
        <f>(Assumptions!$B$35+Assumptions!$B$36*MAX(0,CL30-1))/12</f>
        <v>56250</v>
      </c>
      <c r="CM32" s="26">
        <f>(Assumptions!$B$35+Assumptions!$B$36*MAX(0,CM30-1))/12</f>
        <v>56250</v>
      </c>
      <c r="CN32" s="26">
        <f>(Assumptions!$B$35+Assumptions!$B$36*MAX(0,CN30-1))/12</f>
        <v>56250</v>
      </c>
      <c r="CO32" s="26">
        <f>(Assumptions!$B$35+Assumptions!$B$36*MAX(0,CO30-1))/12</f>
        <v>56250</v>
      </c>
      <c r="CP32" s="26">
        <f>(Assumptions!$B$35+Assumptions!$B$36*MAX(0,CP30-1))/12</f>
        <v>56250</v>
      </c>
      <c r="CQ32" s="26">
        <f>(Assumptions!$B$35+Assumptions!$B$36*MAX(0,CQ30-1))/12</f>
        <v>56250</v>
      </c>
      <c r="CR32" s="26">
        <f>(Assumptions!$B$35+Assumptions!$B$36*MAX(0,CR30-1))/12</f>
        <v>56250</v>
      </c>
      <c r="CS32" s="26">
        <f>(Assumptions!$B$35+Assumptions!$B$36*MAX(0,CS30-1))/12</f>
        <v>56250</v>
      </c>
      <c r="CT32" s="26">
        <f>(Assumptions!$B$35+Assumptions!$B$36*MAX(0,CT30-1))/12</f>
        <v>56250</v>
      </c>
      <c r="CU32" s="26">
        <f>(Assumptions!$B$35+Assumptions!$B$36*MAX(0,CU30-1))/12</f>
        <v>56250</v>
      </c>
      <c r="CV32" s="26">
        <f>(Assumptions!$B$35+Assumptions!$B$36*MAX(0,CV30-1))/12</f>
        <v>56250</v>
      </c>
      <c r="CW32" s="26">
        <f>(Assumptions!$B$35+Assumptions!$B$36*MAX(0,CW30-1))/12</f>
        <v>56250</v>
      </c>
      <c r="CX32" s="26">
        <f>(Assumptions!$B$35+Assumptions!$B$36*MAX(0,CX30-1))/12</f>
        <v>56250</v>
      </c>
      <c r="CY32" s="26">
        <f>(Assumptions!$B$35+Assumptions!$B$36*MAX(0,CY30-1))/12</f>
        <v>56250</v>
      </c>
      <c r="CZ32" s="26">
        <f>(Assumptions!$B$35+Assumptions!$B$36*MAX(0,CZ30-1))/12</f>
        <v>56250</v>
      </c>
      <c r="DA32" s="26">
        <f>(Assumptions!$B$35+Assumptions!$B$36*MAX(0,DA30-1))/12</f>
        <v>56250</v>
      </c>
      <c r="DB32" s="26">
        <f>(Assumptions!$B$35+Assumptions!$B$36*MAX(0,DB30-1))/12</f>
        <v>56250</v>
      </c>
      <c r="DC32" s="26">
        <f>(Assumptions!$B$35+Assumptions!$B$36*MAX(0,DC30-1))/12</f>
        <v>56250</v>
      </c>
      <c r="DD32" s="26">
        <f>(Assumptions!$B$35+Assumptions!$B$36*MAX(0,DD30-1))/12</f>
        <v>56250</v>
      </c>
      <c r="DE32" s="26">
        <f>(Assumptions!$B$35+Assumptions!$B$36*MAX(0,DE30-1))/12</f>
        <v>56250</v>
      </c>
      <c r="DF32" s="26">
        <f>(Assumptions!$B$35+Assumptions!$B$36*MAX(0,DF30-1))/12</f>
        <v>56250</v>
      </c>
      <c r="DG32" s="26">
        <f>(Assumptions!$B$35+Assumptions!$B$36*MAX(0,DG30-1))/12</f>
        <v>56250</v>
      </c>
      <c r="DH32" s="26">
        <f>(Assumptions!$B$35+Assumptions!$B$36*MAX(0,DH30-1))/12</f>
        <v>56250</v>
      </c>
      <c r="DI32" s="26">
        <f>(Assumptions!$B$35+Assumptions!$B$36*MAX(0,DI30-1))/12</f>
        <v>56250</v>
      </c>
      <c r="DJ32" s="26">
        <f>(Assumptions!$B$35+Assumptions!$B$36*MAX(0,DJ30-1))/12</f>
        <v>56250</v>
      </c>
      <c r="DK32" s="26">
        <f>(Assumptions!$B$35+Assumptions!$B$36*MAX(0,DK30-1))/12</f>
        <v>56250</v>
      </c>
      <c r="DL32" s="26">
        <f>(Assumptions!$B$35+Assumptions!$B$36*MAX(0,DL30-1))/12</f>
        <v>56250</v>
      </c>
      <c r="DM32" s="26">
        <f>(Assumptions!$B$35+Assumptions!$B$36*MAX(0,DM30-1))/12</f>
        <v>56250</v>
      </c>
      <c r="DN32" s="26">
        <f>(Assumptions!$B$35+Assumptions!$B$36*MAX(0,DN30-1))/12</f>
        <v>56250</v>
      </c>
      <c r="DO32" s="26">
        <f>(Assumptions!$B$35+Assumptions!$B$36*MAX(0,DO30-1))/12</f>
        <v>56250</v>
      </c>
      <c r="DP32" s="26">
        <f>(Assumptions!$B$35+Assumptions!$B$36*MAX(0,DP30-1))/12</f>
        <v>56250</v>
      </c>
      <c r="DQ32" s="26">
        <f>(Assumptions!$B$35+Assumptions!$B$36*MAX(0,DQ30-1))/12</f>
        <v>56250</v>
      </c>
      <c r="DR32" s="26">
        <f>(Assumptions!$B$35+Assumptions!$B$36*MAX(0,DR30-1))/12</f>
        <v>56250</v>
      </c>
    </row>
    <row r="33" spans="1:122" x14ac:dyDescent="0.2">
      <c r="A33" s="9" t="s">
        <v>103</v>
      </c>
      <c r="C33" s="26">
        <f>(Assumptions!$B$37+Assumptions!$B$38*C31)/12</f>
        <v>2500</v>
      </c>
      <c r="D33" s="26">
        <f>(Assumptions!$B$37+Assumptions!$B$38*D31)/12</f>
        <v>2500</v>
      </c>
      <c r="E33" s="26">
        <f>(Assumptions!$B$37+Assumptions!$B$38*E31)/12</f>
        <v>2500</v>
      </c>
      <c r="F33" s="26">
        <f>(Assumptions!$B$37+Assumptions!$B$38*F31)/12</f>
        <v>2500</v>
      </c>
      <c r="G33" s="26">
        <f>(Assumptions!$B$37+Assumptions!$B$38*G31)/12</f>
        <v>2500</v>
      </c>
      <c r="H33" s="26">
        <f>(Assumptions!$B$37+Assumptions!$B$38*H31)/12</f>
        <v>2500</v>
      </c>
      <c r="I33" s="26">
        <f>(Assumptions!$B$37+Assumptions!$B$38*I31)/12</f>
        <v>2500</v>
      </c>
      <c r="J33" s="26">
        <f>(Assumptions!$B$37+Assumptions!$B$38*J31)/12</f>
        <v>2500</v>
      </c>
      <c r="K33" s="26">
        <f>(Assumptions!$B$37+Assumptions!$B$38*K31)/12</f>
        <v>2500</v>
      </c>
      <c r="L33" s="26">
        <f>(Assumptions!$B$37+Assumptions!$B$38*L31)/12</f>
        <v>2500</v>
      </c>
      <c r="M33" s="26">
        <f>(Assumptions!$B$37+Assumptions!$B$38*M31)/12</f>
        <v>2500</v>
      </c>
      <c r="N33" s="26">
        <f>(Assumptions!$B$37+Assumptions!$B$38*N31)/12</f>
        <v>2500</v>
      </c>
      <c r="O33" s="26">
        <f>(Assumptions!$B$37+Assumptions!$B$38*O31)/12</f>
        <v>2500</v>
      </c>
      <c r="P33" s="26">
        <f>(Assumptions!$B$37+Assumptions!$B$38*P31)/12</f>
        <v>2500</v>
      </c>
      <c r="Q33" s="26">
        <f>(Assumptions!$B$37+Assumptions!$B$38*Q31)/12</f>
        <v>2500</v>
      </c>
      <c r="R33" s="26">
        <f>(Assumptions!$B$37+Assumptions!$B$38*R31)/12</f>
        <v>2500</v>
      </c>
      <c r="S33" s="26">
        <f>(Assumptions!$B$37+Assumptions!$B$38*S31)/12</f>
        <v>2500</v>
      </c>
      <c r="T33" s="26">
        <f>(Assumptions!$B$37+Assumptions!$B$38*T31)/12</f>
        <v>2500</v>
      </c>
      <c r="U33" s="26">
        <f>(Assumptions!$B$37+Assumptions!$B$38*U31)/12</f>
        <v>2500</v>
      </c>
      <c r="V33" s="26">
        <f>(Assumptions!$B$37+Assumptions!$B$38*V31)/12</f>
        <v>2500</v>
      </c>
      <c r="W33" s="26">
        <f>(Assumptions!$B$37+Assumptions!$B$38*W31)/12</f>
        <v>2500</v>
      </c>
      <c r="X33" s="26">
        <f>(Assumptions!$B$37+Assumptions!$B$38*X31)/12</f>
        <v>2500</v>
      </c>
      <c r="Y33" s="26">
        <f>(Assumptions!$B$37+Assumptions!$B$38*Y31)/12</f>
        <v>2500</v>
      </c>
      <c r="Z33" s="26">
        <f>(Assumptions!$B$37+Assumptions!$B$38*Z31)/12</f>
        <v>2500</v>
      </c>
      <c r="AA33" s="26">
        <f>(Assumptions!$B$37+Assumptions!$B$38*AA31)/12</f>
        <v>3333.3333333333335</v>
      </c>
      <c r="AB33" s="26">
        <f>(Assumptions!$B$37+Assumptions!$B$38*AB31)/12</f>
        <v>3333.3333333333335</v>
      </c>
      <c r="AC33" s="26">
        <f>(Assumptions!$B$37+Assumptions!$B$38*AC31)/12</f>
        <v>3333.3333333333335</v>
      </c>
      <c r="AD33" s="26">
        <f>(Assumptions!$B$37+Assumptions!$B$38*AD31)/12</f>
        <v>3333.3333333333335</v>
      </c>
      <c r="AE33" s="26">
        <f>(Assumptions!$B$37+Assumptions!$B$38*AE31)/12</f>
        <v>3333.3333333333335</v>
      </c>
      <c r="AF33" s="26">
        <f>(Assumptions!$B$37+Assumptions!$B$38*AF31)/12</f>
        <v>3333.3333333333335</v>
      </c>
      <c r="AG33" s="26">
        <f>(Assumptions!$B$37+Assumptions!$B$38*AG31)/12</f>
        <v>3333.3333333333335</v>
      </c>
      <c r="AH33" s="26">
        <f>(Assumptions!$B$37+Assumptions!$B$38*AH31)/12</f>
        <v>3333.3333333333335</v>
      </c>
      <c r="AI33" s="26">
        <f>(Assumptions!$B$37+Assumptions!$B$38*AI31)/12</f>
        <v>3333.3333333333335</v>
      </c>
      <c r="AJ33" s="26">
        <f>(Assumptions!$B$37+Assumptions!$B$38*AJ31)/12</f>
        <v>3333.3333333333335</v>
      </c>
      <c r="AK33" s="26">
        <f>(Assumptions!$B$37+Assumptions!$B$38*AK31)/12</f>
        <v>3333.3333333333335</v>
      </c>
      <c r="AL33" s="26">
        <f>(Assumptions!$B$37+Assumptions!$B$38*AL31)/12</f>
        <v>3333.3333333333335</v>
      </c>
      <c r="AM33" s="26">
        <f>(Assumptions!$B$37+Assumptions!$B$38*AM31)/12</f>
        <v>3333.3333333333335</v>
      </c>
      <c r="AN33" s="26">
        <f>(Assumptions!$B$37+Assumptions!$B$38*AN31)/12</f>
        <v>3333.3333333333335</v>
      </c>
      <c r="AO33" s="26">
        <f>(Assumptions!$B$37+Assumptions!$B$38*AO31)/12</f>
        <v>3333.3333333333335</v>
      </c>
      <c r="AP33" s="26">
        <f>(Assumptions!$B$37+Assumptions!$B$38*AP31)/12</f>
        <v>3333.3333333333335</v>
      </c>
      <c r="AQ33" s="26">
        <f>(Assumptions!$B$37+Assumptions!$B$38*AQ31)/12</f>
        <v>3333.3333333333335</v>
      </c>
      <c r="AR33" s="26">
        <f>(Assumptions!$B$37+Assumptions!$B$38*AR31)/12</f>
        <v>3333.3333333333335</v>
      </c>
      <c r="AS33" s="26">
        <f>(Assumptions!$B$37+Assumptions!$B$38*AS31)/12</f>
        <v>3333.3333333333335</v>
      </c>
      <c r="AT33" s="26">
        <f>(Assumptions!$B$37+Assumptions!$B$38*AT31)/12</f>
        <v>3333.3333333333335</v>
      </c>
      <c r="AU33" s="26">
        <f>(Assumptions!$B$37+Assumptions!$B$38*AU31)/12</f>
        <v>3333.3333333333335</v>
      </c>
      <c r="AV33" s="26">
        <f>(Assumptions!$B$37+Assumptions!$B$38*AV31)/12</f>
        <v>3333.3333333333335</v>
      </c>
      <c r="AW33" s="26">
        <f>(Assumptions!$B$37+Assumptions!$B$38*AW31)/12</f>
        <v>3333.3333333333335</v>
      </c>
      <c r="AX33" s="26">
        <f>(Assumptions!$B$37+Assumptions!$B$38*AX31)/12</f>
        <v>3333.3333333333335</v>
      </c>
      <c r="AY33" s="26">
        <f>(Assumptions!$B$37+Assumptions!$B$38*AY31)/12</f>
        <v>4166.666666666667</v>
      </c>
      <c r="AZ33" s="26">
        <f>(Assumptions!$B$37+Assumptions!$B$38*AZ31)/12</f>
        <v>4166.666666666667</v>
      </c>
      <c r="BA33" s="26">
        <f>(Assumptions!$B$37+Assumptions!$B$38*BA31)/12</f>
        <v>4166.666666666667</v>
      </c>
      <c r="BB33" s="26">
        <f>(Assumptions!$B$37+Assumptions!$B$38*BB31)/12</f>
        <v>4166.666666666667</v>
      </c>
      <c r="BC33" s="26">
        <f>(Assumptions!$B$37+Assumptions!$B$38*BC31)/12</f>
        <v>4166.666666666667</v>
      </c>
      <c r="BD33" s="26">
        <f>(Assumptions!$B$37+Assumptions!$B$38*BD31)/12</f>
        <v>4166.666666666667</v>
      </c>
      <c r="BE33" s="26">
        <f>(Assumptions!$B$37+Assumptions!$B$38*BE31)/12</f>
        <v>4166.666666666667</v>
      </c>
      <c r="BF33" s="26">
        <f>(Assumptions!$B$37+Assumptions!$B$38*BF31)/12</f>
        <v>4166.666666666667</v>
      </c>
      <c r="BG33" s="26">
        <f>(Assumptions!$B$37+Assumptions!$B$38*BG31)/12</f>
        <v>4166.666666666667</v>
      </c>
      <c r="BH33" s="26">
        <f>(Assumptions!$B$37+Assumptions!$B$38*BH31)/12</f>
        <v>4166.666666666667</v>
      </c>
      <c r="BI33" s="26">
        <f>(Assumptions!$B$37+Assumptions!$B$38*BI31)/12</f>
        <v>4166.666666666667</v>
      </c>
      <c r="BJ33" s="26">
        <f>(Assumptions!$B$37+Assumptions!$B$38*BJ31)/12</f>
        <v>4166.666666666667</v>
      </c>
      <c r="BK33" s="26">
        <f>(Assumptions!$B$37+Assumptions!$B$38*BK31)/12</f>
        <v>4166.666666666667</v>
      </c>
      <c r="BL33" s="26">
        <f>(Assumptions!$B$37+Assumptions!$B$38*BL31)/12</f>
        <v>4166.666666666667</v>
      </c>
      <c r="BM33" s="26">
        <f>(Assumptions!$B$37+Assumptions!$B$38*BM31)/12</f>
        <v>4166.666666666667</v>
      </c>
      <c r="BN33" s="26">
        <f>(Assumptions!$B$37+Assumptions!$B$38*BN31)/12</f>
        <v>4166.666666666667</v>
      </c>
      <c r="BO33" s="26">
        <f>(Assumptions!$B$37+Assumptions!$B$38*BO31)/12</f>
        <v>4166.666666666667</v>
      </c>
      <c r="BP33" s="26">
        <f>(Assumptions!$B$37+Assumptions!$B$38*BP31)/12</f>
        <v>4166.666666666667</v>
      </c>
      <c r="BQ33" s="26">
        <f>(Assumptions!$B$37+Assumptions!$B$38*BQ31)/12</f>
        <v>4166.666666666667</v>
      </c>
      <c r="BR33" s="26">
        <f>(Assumptions!$B$37+Assumptions!$B$38*BR31)/12</f>
        <v>4166.666666666667</v>
      </c>
      <c r="BS33" s="26">
        <f>(Assumptions!$B$37+Assumptions!$B$38*BS31)/12</f>
        <v>4166.666666666667</v>
      </c>
      <c r="BT33" s="26">
        <f>(Assumptions!$B$37+Assumptions!$B$38*BT31)/12</f>
        <v>4166.666666666667</v>
      </c>
      <c r="BU33" s="26">
        <f>(Assumptions!$B$37+Assumptions!$B$38*BU31)/12</f>
        <v>4166.666666666667</v>
      </c>
      <c r="BV33" s="26">
        <f>(Assumptions!$B$37+Assumptions!$B$38*BV31)/12</f>
        <v>4166.666666666667</v>
      </c>
      <c r="BW33" s="26">
        <f>(Assumptions!$B$37+Assumptions!$B$38*BW31)/12</f>
        <v>4166.666666666667</v>
      </c>
      <c r="BX33" s="26">
        <f>(Assumptions!$B$37+Assumptions!$B$38*BX31)/12</f>
        <v>4166.666666666667</v>
      </c>
      <c r="BY33" s="26">
        <f>(Assumptions!$B$37+Assumptions!$B$38*BY31)/12</f>
        <v>4166.666666666667</v>
      </c>
      <c r="BZ33" s="26">
        <f>(Assumptions!$B$37+Assumptions!$B$38*BZ31)/12</f>
        <v>4166.666666666667</v>
      </c>
      <c r="CA33" s="26">
        <f>(Assumptions!$B$37+Assumptions!$B$38*CA31)/12</f>
        <v>4166.666666666667</v>
      </c>
      <c r="CB33" s="26">
        <f>(Assumptions!$B$37+Assumptions!$B$38*CB31)/12</f>
        <v>4166.666666666667</v>
      </c>
      <c r="CC33" s="26">
        <f>(Assumptions!$B$37+Assumptions!$B$38*CC31)/12</f>
        <v>4166.666666666667</v>
      </c>
      <c r="CD33" s="26">
        <f>(Assumptions!$B$37+Assumptions!$B$38*CD31)/12</f>
        <v>4166.666666666667</v>
      </c>
      <c r="CE33" s="26">
        <f>(Assumptions!$B$37+Assumptions!$B$38*CE31)/12</f>
        <v>4166.666666666667</v>
      </c>
      <c r="CF33" s="26">
        <f>(Assumptions!$B$37+Assumptions!$B$38*CF31)/12</f>
        <v>4166.666666666667</v>
      </c>
      <c r="CG33" s="26">
        <f>(Assumptions!$B$37+Assumptions!$B$38*CG31)/12</f>
        <v>4166.666666666667</v>
      </c>
      <c r="CH33" s="26">
        <f>(Assumptions!$B$37+Assumptions!$B$38*CH31)/12</f>
        <v>4166.666666666667</v>
      </c>
      <c r="CI33" s="26">
        <f>(Assumptions!$B$37+Assumptions!$B$38*CI31)/12</f>
        <v>3333.3333333333335</v>
      </c>
      <c r="CJ33" s="26">
        <f>(Assumptions!$B$37+Assumptions!$B$38*CJ31)/12</f>
        <v>3333.3333333333335</v>
      </c>
      <c r="CK33" s="26">
        <f>(Assumptions!$B$37+Assumptions!$B$38*CK31)/12</f>
        <v>3333.3333333333335</v>
      </c>
      <c r="CL33" s="26">
        <f>(Assumptions!$B$37+Assumptions!$B$38*CL31)/12</f>
        <v>3333.3333333333335</v>
      </c>
      <c r="CM33" s="26">
        <f>(Assumptions!$B$37+Assumptions!$B$38*CM31)/12</f>
        <v>3333.3333333333335</v>
      </c>
      <c r="CN33" s="26">
        <f>(Assumptions!$B$37+Assumptions!$B$38*CN31)/12</f>
        <v>3333.3333333333335</v>
      </c>
      <c r="CO33" s="26">
        <f>(Assumptions!$B$37+Assumptions!$B$38*CO31)/12</f>
        <v>3333.3333333333335</v>
      </c>
      <c r="CP33" s="26">
        <f>(Assumptions!$B$37+Assumptions!$B$38*CP31)/12</f>
        <v>3333.3333333333335</v>
      </c>
      <c r="CQ33" s="26">
        <f>(Assumptions!$B$37+Assumptions!$B$38*CQ31)/12</f>
        <v>3333.3333333333335</v>
      </c>
      <c r="CR33" s="26">
        <f>(Assumptions!$B$37+Assumptions!$B$38*CR31)/12</f>
        <v>3333.3333333333335</v>
      </c>
      <c r="CS33" s="26">
        <f>(Assumptions!$B$37+Assumptions!$B$38*CS31)/12</f>
        <v>3333.3333333333335</v>
      </c>
      <c r="CT33" s="26">
        <f>(Assumptions!$B$37+Assumptions!$B$38*CT31)/12</f>
        <v>3333.3333333333335</v>
      </c>
      <c r="CU33" s="26">
        <f>(Assumptions!$B$37+Assumptions!$B$38*CU31)/12</f>
        <v>2500</v>
      </c>
      <c r="CV33" s="26">
        <f>(Assumptions!$B$37+Assumptions!$B$38*CV31)/12</f>
        <v>2500</v>
      </c>
      <c r="CW33" s="26">
        <f>(Assumptions!$B$37+Assumptions!$B$38*CW31)/12</f>
        <v>2500</v>
      </c>
      <c r="CX33" s="26">
        <f>(Assumptions!$B$37+Assumptions!$B$38*CX31)/12</f>
        <v>2500</v>
      </c>
      <c r="CY33" s="26">
        <f>(Assumptions!$B$37+Assumptions!$B$38*CY31)/12</f>
        <v>2500</v>
      </c>
      <c r="CZ33" s="26">
        <f>(Assumptions!$B$37+Assumptions!$B$38*CZ31)/12</f>
        <v>2500</v>
      </c>
      <c r="DA33" s="26">
        <f>(Assumptions!$B$37+Assumptions!$B$38*DA31)/12</f>
        <v>2500</v>
      </c>
      <c r="DB33" s="26">
        <f>(Assumptions!$B$37+Assumptions!$B$38*DB31)/12</f>
        <v>2500</v>
      </c>
      <c r="DC33" s="26">
        <f>(Assumptions!$B$37+Assumptions!$B$38*DC31)/12</f>
        <v>2500</v>
      </c>
      <c r="DD33" s="26">
        <f>(Assumptions!$B$37+Assumptions!$B$38*DD31)/12</f>
        <v>2500</v>
      </c>
      <c r="DE33" s="26">
        <f>(Assumptions!$B$37+Assumptions!$B$38*DE31)/12</f>
        <v>2500</v>
      </c>
      <c r="DF33" s="26">
        <f>(Assumptions!$B$37+Assumptions!$B$38*DF31)/12</f>
        <v>2500</v>
      </c>
      <c r="DG33" s="26">
        <f>(Assumptions!$B$37+Assumptions!$B$38*DG31)/12</f>
        <v>1666.6666666666667</v>
      </c>
      <c r="DH33" s="26">
        <f>(Assumptions!$B$37+Assumptions!$B$38*DH31)/12</f>
        <v>1666.6666666666667</v>
      </c>
      <c r="DI33" s="26">
        <f>(Assumptions!$B$37+Assumptions!$B$38*DI31)/12</f>
        <v>1666.6666666666667</v>
      </c>
      <c r="DJ33" s="26">
        <f>(Assumptions!$B$37+Assumptions!$B$38*DJ31)/12</f>
        <v>1666.6666666666667</v>
      </c>
      <c r="DK33" s="26">
        <f>(Assumptions!$B$37+Assumptions!$B$38*DK31)/12</f>
        <v>1666.6666666666667</v>
      </c>
      <c r="DL33" s="26">
        <f>(Assumptions!$B$37+Assumptions!$B$38*DL31)/12</f>
        <v>1666.6666666666667</v>
      </c>
      <c r="DM33" s="26">
        <f>(Assumptions!$B$37+Assumptions!$B$38*DM31)/12</f>
        <v>1666.6666666666667</v>
      </c>
      <c r="DN33" s="26">
        <f>(Assumptions!$B$37+Assumptions!$B$38*DN31)/12</f>
        <v>1666.6666666666667</v>
      </c>
      <c r="DO33" s="26">
        <f>(Assumptions!$B$37+Assumptions!$B$38*DO31)/12</f>
        <v>1666.6666666666667</v>
      </c>
      <c r="DP33" s="26">
        <f>(Assumptions!$B$37+Assumptions!$B$38*DP31)/12</f>
        <v>1666.6666666666667</v>
      </c>
      <c r="DQ33" s="26">
        <f>(Assumptions!$B$37+Assumptions!$B$38*DQ31)/12</f>
        <v>1666.6666666666667</v>
      </c>
      <c r="DR33" s="26">
        <f>(Assumptions!$B$37+Assumptions!$B$38*DR31)/12</f>
        <v>1666.6666666666667</v>
      </c>
    </row>
    <row r="34" spans="1:122" x14ac:dyDescent="0.2">
      <c r="A34" s="9" t="s">
        <v>104</v>
      </c>
      <c r="C34" s="26">
        <f>Assumptions!$B$39*C15*C5*12</f>
        <v>2242.1875</v>
      </c>
      <c r="D34" s="26">
        <f>Assumptions!$B$39*MAX(0,D15-C15)*D5*12</f>
        <v>2242.1875</v>
      </c>
      <c r="E34" s="26">
        <f>Assumptions!$B$39*MAX(0,E15-D15)*E5*12</f>
        <v>2242.1875000000009</v>
      </c>
      <c r="F34" s="26">
        <f>Assumptions!$B$39*MAX(0,F15-E15)*F5*12</f>
        <v>2242.1874999999991</v>
      </c>
      <c r="G34" s="26">
        <f>Assumptions!$B$39*MAX(0,G15-F15)*G5*12</f>
        <v>2242.1875</v>
      </c>
      <c r="H34" s="26">
        <f>Assumptions!$B$39*MAX(0,H15-G15)*H5*12</f>
        <v>2242.1875000000018</v>
      </c>
      <c r="I34" s="26">
        <f>Assumptions!$B$39*MAX(0,I15-H15)*I5*12</f>
        <v>2242.1874999999964</v>
      </c>
      <c r="J34" s="26">
        <f>Assumptions!$B$39*MAX(0,J15-I15)*J5*12</f>
        <v>2242.1875000000018</v>
      </c>
      <c r="K34" s="26">
        <f>Assumptions!$B$39*MAX(0,K15-J15)*K5*12</f>
        <v>2242.1874999999964</v>
      </c>
      <c r="L34" s="26">
        <f>Assumptions!$B$39*MAX(0,L15-K15)*L5*12</f>
        <v>2242.1875000000036</v>
      </c>
      <c r="M34" s="26">
        <f>Assumptions!$B$39*MAX(0,M15-L15)*M5*12</f>
        <v>2242.1875000000036</v>
      </c>
      <c r="N34" s="26">
        <f>Assumptions!$B$39*MAX(0,N15-M15)*N5*12</f>
        <v>2242.1875</v>
      </c>
      <c r="O34" s="26">
        <f>Assumptions!$B$39*MAX(0,O15-N15)*O5*12</f>
        <v>2309.4531249999968</v>
      </c>
      <c r="P34" s="26">
        <f>Assumptions!$B$39*MAX(0,P15-O15)*P5*12</f>
        <v>2309.4531249999968</v>
      </c>
      <c r="Q34" s="26">
        <f>Assumptions!$B$39*MAX(0,Q15-P15)*Q5*12</f>
        <v>2309.4531250000041</v>
      </c>
      <c r="R34" s="26">
        <f>Assumptions!$B$39*MAX(0,R15-Q15)*R5*12</f>
        <v>2309.453125</v>
      </c>
      <c r="S34" s="26">
        <f>Assumptions!$B$39*MAX(0,S15-R15)*S5*12</f>
        <v>2309.4531250000082</v>
      </c>
      <c r="T34" s="26">
        <f>Assumptions!$B$39*MAX(0,T15-S15)*T5*12</f>
        <v>2309.4531249999845</v>
      </c>
      <c r="U34" s="26">
        <f>Assumptions!$B$39*MAX(0,U15-T15)*U5*12</f>
        <v>2309.4531250000082</v>
      </c>
      <c r="V34" s="26">
        <f>Assumptions!$B$39*MAX(0,V15-U15)*V5*12</f>
        <v>2309.453125</v>
      </c>
      <c r="W34" s="26">
        <f>Assumptions!$B$39*MAX(0,W15-V15)*W5*12</f>
        <v>2309.453125</v>
      </c>
      <c r="X34" s="26">
        <f>Assumptions!$B$39*MAX(0,X15-W15)*X5*12</f>
        <v>2309.4531250000082</v>
      </c>
      <c r="Y34" s="26">
        <f>Assumptions!$B$39*MAX(0,Y15-X15)*Y5*12</f>
        <v>2309.4531249999845</v>
      </c>
      <c r="Z34" s="26">
        <f>Assumptions!$B$39*MAX(0,Z15-Y15)*Z5*12</f>
        <v>2309.4531250000159</v>
      </c>
      <c r="AA34" s="26">
        <f>Assumptions!$B$39*MAX(0,AA15-Z15)*AA5*12</f>
        <v>4757.4734374999925</v>
      </c>
      <c r="AB34" s="26">
        <f>Assumptions!$B$39*MAX(0,AB15-AA15)*AB5*12</f>
        <v>4757.4734374999998</v>
      </c>
      <c r="AC34" s="26">
        <f>Assumptions!$B$39*MAX(0,AC15-AB15)*AC5*12</f>
        <v>4757.4734375000162</v>
      </c>
      <c r="AD34" s="26">
        <f>Assumptions!$B$39*MAX(0,AD15-AC15)*AD5*12</f>
        <v>4757.4734374999844</v>
      </c>
      <c r="AE34" s="26">
        <f>Assumptions!$B$39*MAX(0,AE15-AD15)*AE5*12</f>
        <v>4757.4734374999998</v>
      </c>
      <c r="AF34" s="26">
        <f>Assumptions!$B$39*MAX(0,AF15-AE15)*AF5*12</f>
        <v>4757.4734374999998</v>
      </c>
      <c r="AG34" s="26">
        <f>Assumptions!$B$39*MAX(0,AG15-AF15)*AG5*12</f>
        <v>4757.4734374999998</v>
      </c>
      <c r="AH34" s="26">
        <f>Assumptions!$B$39*MAX(0,AH15-AG15)*AH5*12</f>
        <v>4757.4734374999998</v>
      </c>
      <c r="AI34" s="26">
        <f>Assumptions!$B$39*MAX(0,AI15-AH15)*AI5*12</f>
        <v>4757.4734374999998</v>
      </c>
      <c r="AJ34" s="26">
        <f>Assumptions!$B$39*MAX(0,AJ15-AI15)*AJ5*12</f>
        <v>4757.4734375000162</v>
      </c>
      <c r="AK34" s="26">
        <f>Assumptions!$B$39*MAX(0,AK15-AJ15)*AK5*12</f>
        <v>4757.4734374999844</v>
      </c>
      <c r="AL34" s="26">
        <f>Assumptions!$B$39*MAX(0,AL15-AK15)*AL5*12</f>
        <v>4757.4734374999844</v>
      </c>
      <c r="AM34" s="26">
        <f>Assumptions!$B$39*MAX(0,AM15-AL15)*AM5*12</f>
        <v>4550.1835234375158</v>
      </c>
      <c r="AN34" s="26">
        <f>Assumptions!$B$39*MAX(0,AN15-AM15)*AN5*12</f>
        <v>4550.1835234374994</v>
      </c>
      <c r="AO34" s="26">
        <f>Assumptions!$B$39*MAX(0,AO15-AN15)*AO5*12</f>
        <v>4550.1835234374994</v>
      </c>
      <c r="AP34" s="26">
        <f>Assumptions!$B$39*MAX(0,AP15-AO15)*AP5*12</f>
        <v>4550.1835234374994</v>
      </c>
      <c r="AQ34" s="26">
        <f>Assumptions!$B$39*MAX(0,AQ15-AP15)*AQ5*12</f>
        <v>4550.1835234374994</v>
      </c>
      <c r="AR34" s="26">
        <f>Assumptions!$B$39*MAX(0,AR15-AQ15)*AR5*12</f>
        <v>4550.1835234374994</v>
      </c>
      <c r="AS34" s="26">
        <f>Assumptions!$B$39*MAX(0,AS15-AR15)*AS5*12</f>
        <v>4550.1835234374994</v>
      </c>
      <c r="AT34" s="26">
        <f>Assumptions!$B$39*MAX(0,AT15-AS15)*AT5*12</f>
        <v>4550.1835234374994</v>
      </c>
      <c r="AU34" s="26">
        <f>Assumptions!$B$39*MAX(0,AU15-AT15)*AU5*12</f>
        <v>4550.1835234374994</v>
      </c>
      <c r="AV34" s="26">
        <f>Assumptions!$B$39*MAX(0,AV15-AU15)*AV5*12</f>
        <v>4550.1835234374994</v>
      </c>
      <c r="AW34" s="26">
        <f>Assumptions!$B$39*MAX(0,AW15-AV15)*AW5*12</f>
        <v>4550.1835234374994</v>
      </c>
      <c r="AX34" s="26">
        <f>Assumptions!$B$39*MAX(0,AX15-AW15)*AX5*12</f>
        <v>4550.1835234374994</v>
      </c>
      <c r="AY34" s="26">
        <f>Assumptions!$B$39*MAX(0,AY15-AX15)*AY5*12</f>
        <v>8291.8344361718737</v>
      </c>
      <c r="AZ34" s="26">
        <f>Assumptions!$B$39*MAX(0,AZ15-AY15)*AZ5*12</f>
        <v>8291.8344361718737</v>
      </c>
      <c r="BA34" s="26">
        <f>Assumptions!$B$39*MAX(0,BA15-AZ15)*BA5*12</f>
        <v>8291.8344361718737</v>
      </c>
      <c r="BB34" s="26">
        <f>Assumptions!$B$39*MAX(0,BB15-BA15)*BB5*12</f>
        <v>8291.8344361718737</v>
      </c>
      <c r="BC34" s="26">
        <f>Assumptions!$B$39*MAX(0,BC15-BB15)*BC5*12</f>
        <v>8291.8344361718737</v>
      </c>
      <c r="BD34" s="26">
        <f>Assumptions!$B$39*MAX(0,BD15-BC15)*BD5*12</f>
        <v>8291.8344361718737</v>
      </c>
      <c r="BE34" s="26">
        <f>Assumptions!$B$39*MAX(0,BE15-BD15)*BE5*12</f>
        <v>8291.8344361718737</v>
      </c>
      <c r="BF34" s="26">
        <f>Assumptions!$B$39*MAX(0,BF15-BE15)*BF5*12</f>
        <v>8291.8344361718737</v>
      </c>
      <c r="BG34" s="26">
        <f>Assumptions!$B$39*MAX(0,BG15-BF15)*BG5*12</f>
        <v>8291.8344361718737</v>
      </c>
      <c r="BH34" s="26">
        <f>Assumptions!$B$39*MAX(0,BH15-BG15)*BH5*12</f>
        <v>8291.8344361718737</v>
      </c>
      <c r="BI34" s="26">
        <f>Assumptions!$B$39*MAX(0,BI15-BH15)*BI5*12</f>
        <v>8291.8344361718737</v>
      </c>
      <c r="BJ34" s="26">
        <f>Assumptions!$B$39*MAX(0,BJ15-BI15)*BJ5*12</f>
        <v>8291.8344361718737</v>
      </c>
      <c r="BK34" s="26">
        <f>Assumptions!$B$39*MAX(0,BK15-BJ15)*BK5*12</f>
        <v>9654.5794000296846</v>
      </c>
      <c r="BL34" s="26">
        <f>Assumptions!$B$39*MAX(0,BL15-BK15)*BL5*12</f>
        <v>9654.5794000296846</v>
      </c>
      <c r="BM34" s="26">
        <f>Assumptions!$B$39*MAX(0,BM15-BL15)*BM5*12</f>
        <v>9654.5794000296846</v>
      </c>
      <c r="BN34" s="26">
        <f>Assumptions!$B$39*MAX(0,BN15-BM15)*BN5*12</f>
        <v>9654.5794000296846</v>
      </c>
      <c r="BO34" s="26">
        <f>Assumptions!$B$39*MAX(0,BO15-BN15)*BO5*12</f>
        <v>9654.5794000296846</v>
      </c>
      <c r="BP34" s="26">
        <f>Assumptions!$B$39*MAX(0,BP15-BO15)*BP5*12</f>
        <v>9654.5794000296846</v>
      </c>
      <c r="BQ34" s="26">
        <f>Assumptions!$B$39*MAX(0,BQ15-BP15)*BQ5*12</f>
        <v>9654.5794000296846</v>
      </c>
      <c r="BR34" s="26">
        <f>Assumptions!$B$39*MAX(0,BR15-BQ15)*BR5*12</f>
        <v>9654.5794000296846</v>
      </c>
      <c r="BS34" s="26">
        <f>Assumptions!$B$39*MAX(0,BS15-BR15)*BS5*12</f>
        <v>9654.5794000296846</v>
      </c>
      <c r="BT34" s="26">
        <f>Assumptions!$B$39*MAX(0,BT15-BS15)*BT5*12</f>
        <v>9654.5794000296846</v>
      </c>
      <c r="BU34" s="26">
        <f>Assumptions!$B$39*MAX(0,BU15-BT15)*BU5*12</f>
        <v>9654.5794000296846</v>
      </c>
      <c r="BV34" s="26">
        <f>Assumptions!$B$39*MAX(0,BV15-BU15)*BV5*12</f>
        <v>9654.5794000296846</v>
      </c>
      <c r="BW34" s="26">
        <f>Assumptions!$B$39*MAX(0,BW15-BV15)*BW5*12</f>
        <v>11474.096286958358</v>
      </c>
      <c r="BX34" s="26">
        <f>Assumptions!$B$39*MAX(0,BX15-BW15)*BX5*12</f>
        <v>11474.096286958358</v>
      </c>
      <c r="BY34" s="26">
        <f>Assumptions!$B$39*MAX(0,BY15-BX15)*BY5*12</f>
        <v>11474.096286958358</v>
      </c>
      <c r="BZ34" s="26">
        <f>Assumptions!$B$39*MAX(0,BZ15-BY15)*BZ5*12</f>
        <v>11474.096286958358</v>
      </c>
      <c r="CA34" s="26">
        <f>Assumptions!$B$39*MAX(0,CA15-BZ15)*CA5*12</f>
        <v>11474.096286958358</v>
      </c>
      <c r="CB34" s="26">
        <f>Assumptions!$B$39*MAX(0,CB15-CA15)*CB5*12</f>
        <v>11474.096286958358</v>
      </c>
      <c r="CC34" s="26">
        <f>Assumptions!$B$39*MAX(0,CC15-CB15)*CC5*12</f>
        <v>11474.096286958358</v>
      </c>
      <c r="CD34" s="26">
        <f>Assumptions!$B$39*MAX(0,CD15-CC15)*CD5*12</f>
        <v>11474.096286958358</v>
      </c>
      <c r="CE34" s="26">
        <f>Assumptions!$B$39*MAX(0,CE15-CD15)*CE5*12</f>
        <v>11474.096286958358</v>
      </c>
      <c r="CF34" s="26">
        <f>Assumptions!$B$39*MAX(0,CF15-CE15)*CF5*12</f>
        <v>11474.096286958358</v>
      </c>
      <c r="CG34" s="26">
        <f>Assumptions!$B$39*MAX(0,CG15-CF15)*CG5*12</f>
        <v>11474.096286958358</v>
      </c>
      <c r="CH34" s="26">
        <f>Assumptions!$B$39*MAX(0,CH15-CG15)*CH5*12</f>
        <v>11474.096286958358</v>
      </c>
      <c r="CI34" s="26">
        <f>Assumptions!$B$39*MAX(0,CI15-CH15)*CI5*12</f>
        <v>7878.8794503780737</v>
      </c>
      <c r="CJ34" s="26">
        <f>Assumptions!$B$39*MAX(0,CJ15-CI15)*CJ5*12</f>
        <v>7878.8794503780737</v>
      </c>
      <c r="CK34" s="26">
        <f>Assumptions!$B$39*MAX(0,CK15-CJ15)*CK5*12</f>
        <v>7878.8794503780737</v>
      </c>
      <c r="CL34" s="26">
        <f>Assumptions!$B$39*MAX(0,CL15-CK15)*CL5*12</f>
        <v>7878.8794503780737</v>
      </c>
      <c r="CM34" s="26">
        <f>Assumptions!$B$39*MAX(0,CM15-CL15)*CM5*12</f>
        <v>7878.8794503780737</v>
      </c>
      <c r="CN34" s="26">
        <f>Assumptions!$B$39*MAX(0,CN15-CM15)*CN5*12</f>
        <v>7878.8794503780737</v>
      </c>
      <c r="CO34" s="26">
        <f>Assumptions!$B$39*MAX(0,CO15-CN15)*CO5*12</f>
        <v>7878.8794503780737</v>
      </c>
      <c r="CP34" s="26">
        <f>Assumptions!$B$39*MAX(0,CP15-CO15)*CP5*12</f>
        <v>7878.8794503780737</v>
      </c>
      <c r="CQ34" s="26">
        <f>Assumptions!$B$39*MAX(0,CQ15-CP15)*CQ5*12</f>
        <v>7878.8794503780737</v>
      </c>
      <c r="CR34" s="26">
        <f>Assumptions!$B$39*MAX(0,CR15-CQ15)*CR5*12</f>
        <v>7878.8794503780737</v>
      </c>
      <c r="CS34" s="26">
        <f>Assumptions!$B$39*MAX(0,CS15-CR15)*CS5*12</f>
        <v>7878.8794503780737</v>
      </c>
      <c r="CT34" s="26">
        <f>Assumptions!$B$39*MAX(0,CT15-CS15)*CT5*12</f>
        <v>7878.8794503780737</v>
      </c>
      <c r="CU34" s="26">
        <f>Assumptions!$B$39*MAX(0,CU15-CT15)*CU5*12</f>
        <v>4057.6229169447079</v>
      </c>
      <c r="CV34" s="26">
        <f>Assumptions!$B$39*MAX(0,CV15-CU15)*CV5*12</f>
        <v>4057.6229169447079</v>
      </c>
      <c r="CW34" s="26">
        <f>Assumptions!$B$39*MAX(0,CW15-CV15)*CW5*12</f>
        <v>4057.6229169447079</v>
      </c>
      <c r="CX34" s="26">
        <f>Assumptions!$B$39*MAX(0,CX15-CW15)*CX5*12</f>
        <v>4057.6229169447079</v>
      </c>
      <c r="CY34" s="26">
        <f>Assumptions!$B$39*MAX(0,CY15-CX15)*CY5*12</f>
        <v>4057.6229169447079</v>
      </c>
      <c r="CZ34" s="26">
        <f>Assumptions!$B$39*MAX(0,CZ15-CY15)*CZ5*12</f>
        <v>4057.6229169447079</v>
      </c>
      <c r="DA34" s="26">
        <f>Assumptions!$B$39*MAX(0,DA15-CZ15)*DA5*12</f>
        <v>4057.6229169447079</v>
      </c>
      <c r="DB34" s="26">
        <f>Assumptions!$B$39*MAX(0,DB15-DA15)*DB5*12</f>
        <v>4057.6229169447079</v>
      </c>
      <c r="DC34" s="26">
        <f>Assumptions!$B$39*MAX(0,DC15-DB15)*DC5*12</f>
        <v>4057.6229169447079</v>
      </c>
      <c r="DD34" s="26">
        <f>Assumptions!$B$39*MAX(0,DD15-DC15)*DD5*12</f>
        <v>4057.6229169447079</v>
      </c>
      <c r="DE34" s="26">
        <f>Assumptions!$B$39*MAX(0,DE15-DD15)*DE5*12</f>
        <v>4057.6229169447079</v>
      </c>
      <c r="DF34" s="26">
        <f>Assumptions!$B$39*MAX(0,DF15-DE15)*DF5*12</f>
        <v>4057.6229169447079</v>
      </c>
      <c r="DG34" s="26">
        <f>Assumptions!$B$39*MAX(0,DG15-DF15)*DG5*12</f>
        <v>0</v>
      </c>
      <c r="DH34" s="26">
        <f>Assumptions!$B$39*MAX(0,DH15-DG15)*DH5*12</f>
        <v>0</v>
      </c>
      <c r="DI34" s="26">
        <f>Assumptions!$B$39*MAX(0,DI15-DH15)*DI5*12</f>
        <v>0</v>
      </c>
      <c r="DJ34" s="26">
        <f>Assumptions!$B$39*MAX(0,DJ15-DI15)*DJ5*12</f>
        <v>0</v>
      </c>
      <c r="DK34" s="26">
        <f>Assumptions!$B$39*MAX(0,DK15-DJ15)*DK5*12</f>
        <v>0</v>
      </c>
      <c r="DL34" s="26">
        <f>Assumptions!$B$39*MAX(0,DL15-DK15)*DL5*12</f>
        <v>0</v>
      </c>
      <c r="DM34" s="26">
        <f>Assumptions!$B$39*MAX(0,DM15-DL15)*DM5*12</f>
        <v>0</v>
      </c>
      <c r="DN34" s="26">
        <f>Assumptions!$B$39*MAX(0,DN15-DM15)*DN5*12</f>
        <v>0</v>
      </c>
      <c r="DO34" s="26">
        <f>Assumptions!$B$39*MAX(0,DO15-DN15)*DO5*12</f>
        <v>0</v>
      </c>
      <c r="DP34" s="26">
        <f>Assumptions!$B$39*MAX(0,DP15-DO15)*DP5*12</f>
        <v>0</v>
      </c>
      <c r="DQ34" s="26">
        <f>Assumptions!$B$39*MAX(0,DQ15-DP15)*DQ5*12</f>
        <v>0</v>
      </c>
      <c r="DR34" s="26">
        <f>Assumptions!$B$39*MAX(0,DR15-DQ15)*DR5*12</f>
        <v>0</v>
      </c>
    </row>
    <row r="35" spans="1:122" x14ac:dyDescent="0.2">
      <c r="A35" s="9" t="s">
        <v>105</v>
      </c>
      <c r="C35" s="26">
        <f>Assumptions!$B$40/12*C6</f>
        <v>2187.5</v>
      </c>
      <c r="D35" s="26">
        <f>Assumptions!$B$40/12*D6</f>
        <v>2187.5</v>
      </c>
      <c r="E35" s="26">
        <f>Assumptions!$B$40/12*E6</f>
        <v>2187.5</v>
      </c>
      <c r="F35" s="26">
        <f>Assumptions!$B$40/12*F6</f>
        <v>2187.5</v>
      </c>
      <c r="G35" s="26">
        <f>Assumptions!$B$40/12*G6</f>
        <v>2187.5</v>
      </c>
      <c r="H35" s="26">
        <f>Assumptions!$B$40/12*H6</f>
        <v>2187.5</v>
      </c>
      <c r="I35" s="26">
        <f>Assumptions!$B$40/12*I6</f>
        <v>2187.5</v>
      </c>
      <c r="J35" s="26">
        <f>Assumptions!$B$40/12*J6</f>
        <v>2187.5</v>
      </c>
      <c r="K35" s="26">
        <f>Assumptions!$B$40/12*K6</f>
        <v>2187.5</v>
      </c>
      <c r="L35" s="26">
        <f>Assumptions!$B$40/12*L6</f>
        <v>2187.5</v>
      </c>
      <c r="M35" s="26">
        <f>Assumptions!$B$40/12*M6</f>
        <v>2187.5</v>
      </c>
      <c r="N35" s="26">
        <f>Assumptions!$B$40/12*N6</f>
        <v>2187.5</v>
      </c>
      <c r="O35" s="26">
        <f>Assumptions!$B$40/12*O6</f>
        <v>2187.5</v>
      </c>
      <c r="P35" s="26">
        <f>Assumptions!$B$40/12*P6</f>
        <v>2187.5</v>
      </c>
      <c r="Q35" s="26">
        <f>Assumptions!$B$40/12*Q6</f>
        <v>2187.5</v>
      </c>
      <c r="R35" s="26">
        <f>Assumptions!$B$40/12*R6</f>
        <v>2187.5</v>
      </c>
      <c r="S35" s="26">
        <f>Assumptions!$B$40/12*S6</f>
        <v>2187.5</v>
      </c>
      <c r="T35" s="26">
        <f>Assumptions!$B$40/12*T6</f>
        <v>2187.5</v>
      </c>
      <c r="U35" s="26">
        <f>Assumptions!$B$40/12*U6</f>
        <v>2187.5</v>
      </c>
      <c r="V35" s="26">
        <f>Assumptions!$B$40/12*V6</f>
        <v>2187.5</v>
      </c>
      <c r="W35" s="26">
        <f>Assumptions!$B$40/12*W6</f>
        <v>2187.5</v>
      </c>
      <c r="X35" s="26">
        <f>Assumptions!$B$40/12*X6</f>
        <v>2187.5</v>
      </c>
      <c r="Y35" s="26">
        <f>Assumptions!$B$40/12*Y6</f>
        <v>2187.5</v>
      </c>
      <c r="Z35" s="26">
        <f>Assumptions!$B$40/12*Z6</f>
        <v>2187.5</v>
      </c>
      <c r="AA35" s="26">
        <f>Assumptions!$B$40/12*AA6</f>
        <v>4375</v>
      </c>
      <c r="AB35" s="26">
        <f>Assumptions!$B$40/12*AB6</f>
        <v>4375</v>
      </c>
      <c r="AC35" s="26">
        <f>Assumptions!$B$40/12*AC6</f>
        <v>4375</v>
      </c>
      <c r="AD35" s="26">
        <f>Assumptions!$B$40/12*AD6</f>
        <v>4375</v>
      </c>
      <c r="AE35" s="26">
        <f>Assumptions!$B$40/12*AE6</f>
        <v>4375</v>
      </c>
      <c r="AF35" s="26">
        <f>Assumptions!$B$40/12*AF6</f>
        <v>4375</v>
      </c>
      <c r="AG35" s="26">
        <f>Assumptions!$B$40/12*AG6</f>
        <v>4375</v>
      </c>
      <c r="AH35" s="26">
        <f>Assumptions!$B$40/12*AH6</f>
        <v>4375</v>
      </c>
      <c r="AI35" s="26">
        <f>Assumptions!$B$40/12*AI6</f>
        <v>4375</v>
      </c>
      <c r="AJ35" s="26">
        <f>Assumptions!$B$40/12*AJ6</f>
        <v>4375</v>
      </c>
      <c r="AK35" s="26">
        <f>Assumptions!$B$40/12*AK6</f>
        <v>4375</v>
      </c>
      <c r="AL35" s="26">
        <f>Assumptions!$B$40/12*AL6</f>
        <v>4375</v>
      </c>
      <c r="AM35" s="26">
        <f>Assumptions!$B$40/12*AM6</f>
        <v>6249.9999999999991</v>
      </c>
      <c r="AN35" s="26">
        <f>Assumptions!$B$40/12*AN6</f>
        <v>6249.9999999999991</v>
      </c>
      <c r="AO35" s="26">
        <f>Assumptions!$B$40/12*AO6</f>
        <v>6249.9999999999991</v>
      </c>
      <c r="AP35" s="26">
        <f>Assumptions!$B$40/12*AP6</f>
        <v>6249.9999999999991</v>
      </c>
      <c r="AQ35" s="26">
        <f>Assumptions!$B$40/12*AQ6</f>
        <v>6249.9999999999991</v>
      </c>
      <c r="AR35" s="26">
        <f>Assumptions!$B$40/12*AR6</f>
        <v>6249.9999999999991</v>
      </c>
      <c r="AS35" s="26">
        <f>Assumptions!$B$40/12*AS6</f>
        <v>6249.9999999999991</v>
      </c>
      <c r="AT35" s="26">
        <f>Assumptions!$B$40/12*AT6</f>
        <v>6249.9999999999991</v>
      </c>
      <c r="AU35" s="26">
        <f>Assumptions!$B$40/12*AU6</f>
        <v>6249.9999999999991</v>
      </c>
      <c r="AV35" s="26">
        <f>Assumptions!$B$40/12*AV6</f>
        <v>6249.9999999999991</v>
      </c>
      <c r="AW35" s="26">
        <f>Assumptions!$B$40/12*AW6</f>
        <v>6249.9999999999991</v>
      </c>
      <c r="AX35" s="26">
        <f>Assumptions!$B$40/12*AX6</f>
        <v>6249.9999999999991</v>
      </c>
      <c r="AY35" s="26">
        <f>Assumptions!$B$40/12*AY6</f>
        <v>9375</v>
      </c>
      <c r="AZ35" s="26">
        <f>Assumptions!$B$40/12*AZ6</f>
        <v>9375</v>
      </c>
      <c r="BA35" s="26">
        <f>Assumptions!$B$40/12*BA6</f>
        <v>9375</v>
      </c>
      <c r="BB35" s="26">
        <f>Assumptions!$B$40/12*BB6</f>
        <v>9375</v>
      </c>
      <c r="BC35" s="26">
        <f>Assumptions!$B$40/12*BC6</f>
        <v>9375</v>
      </c>
      <c r="BD35" s="26">
        <f>Assumptions!$B$40/12*BD6</f>
        <v>9375</v>
      </c>
      <c r="BE35" s="26">
        <f>Assumptions!$B$40/12*BE6</f>
        <v>9375</v>
      </c>
      <c r="BF35" s="26">
        <f>Assumptions!$B$40/12*BF6</f>
        <v>9375</v>
      </c>
      <c r="BG35" s="26">
        <f>Assumptions!$B$40/12*BG6</f>
        <v>9375</v>
      </c>
      <c r="BH35" s="26">
        <f>Assumptions!$B$40/12*BH6</f>
        <v>9375</v>
      </c>
      <c r="BI35" s="26">
        <f>Assumptions!$B$40/12*BI6</f>
        <v>9375</v>
      </c>
      <c r="BJ35" s="26">
        <f>Assumptions!$B$40/12*BJ6</f>
        <v>9375</v>
      </c>
      <c r="BK35" s="26">
        <f>Assumptions!$B$40/12*BK6</f>
        <v>12499.999999999998</v>
      </c>
      <c r="BL35" s="26">
        <f>Assumptions!$B$40/12*BL6</f>
        <v>12499.999999999998</v>
      </c>
      <c r="BM35" s="26">
        <f>Assumptions!$B$40/12*BM6</f>
        <v>12499.999999999998</v>
      </c>
      <c r="BN35" s="26">
        <f>Assumptions!$B$40/12*BN6</f>
        <v>12499.999999999998</v>
      </c>
      <c r="BO35" s="26">
        <f>Assumptions!$B$40/12*BO6</f>
        <v>12499.999999999998</v>
      </c>
      <c r="BP35" s="26">
        <f>Assumptions!$B$40/12*BP6</f>
        <v>12499.999999999998</v>
      </c>
      <c r="BQ35" s="26">
        <f>Assumptions!$B$40/12*BQ6</f>
        <v>12499.999999999998</v>
      </c>
      <c r="BR35" s="26">
        <f>Assumptions!$B$40/12*BR6</f>
        <v>12499.999999999998</v>
      </c>
      <c r="BS35" s="26">
        <f>Assumptions!$B$40/12*BS6</f>
        <v>12499.999999999998</v>
      </c>
      <c r="BT35" s="26">
        <f>Assumptions!$B$40/12*BT6</f>
        <v>12499.999999999998</v>
      </c>
      <c r="BU35" s="26">
        <f>Assumptions!$B$40/12*BU6</f>
        <v>12499.999999999998</v>
      </c>
      <c r="BV35" s="26">
        <f>Assumptions!$B$40/12*BV6</f>
        <v>12499.999999999998</v>
      </c>
      <c r="BW35" s="26">
        <f>Assumptions!$B$40/12*BW6</f>
        <v>15624.999999999998</v>
      </c>
      <c r="BX35" s="26">
        <f>Assumptions!$B$40/12*BX6</f>
        <v>15624.999999999998</v>
      </c>
      <c r="BY35" s="26">
        <f>Assumptions!$B$40/12*BY6</f>
        <v>15624.999999999998</v>
      </c>
      <c r="BZ35" s="26">
        <f>Assumptions!$B$40/12*BZ6</f>
        <v>15624.999999999998</v>
      </c>
      <c r="CA35" s="26">
        <f>Assumptions!$B$40/12*CA6</f>
        <v>15624.999999999998</v>
      </c>
      <c r="CB35" s="26">
        <f>Assumptions!$B$40/12*CB6</f>
        <v>15624.999999999998</v>
      </c>
      <c r="CC35" s="26">
        <f>Assumptions!$B$40/12*CC6</f>
        <v>15624.999999999998</v>
      </c>
      <c r="CD35" s="26">
        <f>Assumptions!$B$40/12*CD6</f>
        <v>15624.999999999998</v>
      </c>
      <c r="CE35" s="26">
        <f>Assumptions!$B$40/12*CE6</f>
        <v>15624.999999999998</v>
      </c>
      <c r="CF35" s="26">
        <f>Assumptions!$B$40/12*CF6</f>
        <v>15624.999999999998</v>
      </c>
      <c r="CG35" s="26">
        <f>Assumptions!$B$40/12*CG6</f>
        <v>15624.999999999998</v>
      </c>
      <c r="CH35" s="26">
        <f>Assumptions!$B$40/12*CH6</f>
        <v>15624.999999999998</v>
      </c>
      <c r="CI35" s="26">
        <f>Assumptions!$B$40/12*CI6</f>
        <v>15624.999999999998</v>
      </c>
      <c r="CJ35" s="26">
        <f>Assumptions!$B$40/12*CJ6</f>
        <v>15624.999999999998</v>
      </c>
      <c r="CK35" s="26">
        <f>Assumptions!$B$40/12*CK6</f>
        <v>15624.999999999998</v>
      </c>
      <c r="CL35" s="26">
        <f>Assumptions!$B$40/12*CL6</f>
        <v>15624.999999999998</v>
      </c>
      <c r="CM35" s="26">
        <f>Assumptions!$B$40/12*CM6</f>
        <v>15624.999999999998</v>
      </c>
      <c r="CN35" s="26">
        <f>Assumptions!$B$40/12*CN6</f>
        <v>15624.999999999998</v>
      </c>
      <c r="CO35" s="26">
        <f>Assumptions!$B$40/12*CO6</f>
        <v>15624.999999999998</v>
      </c>
      <c r="CP35" s="26">
        <f>Assumptions!$B$40/12*CP6</f>
        <v>15624.999999999998</v>
      </c>
      <c r="CQ35" s="26">
        <f>Assumptions!$B$40/12*CQ6</f>
        <v>15624.999999999998</v>
      </c>
      <c r="CR35" s="26">
        <f>Assumptions!$B$40/12*CR6</f>
        <v>15624.999999999998</v>
      </c>
      <c r="CS35" s="26">
        <f>Assumptions!$B$40/12*CS6</f>
        <v>15624.999999999998</v>
      </c>
      <c r="CT35" s="26">
        <f>Assumptions!$B$40/12*CT6</f>
        <v>15624.999999999998</v>
      </c>
      <c r="CU35" s="26">
        <f>Assumptions!$B$40/12*CU6</f>
        <v>15624.999999999998</v>
      </c>
      <c r="CV35" s="26">
        <f>Assumptions!$B$40/12*CV6</f>
        <v>15624.999999999998</v>
      </c>
      <c r="CW35" s="26">
        <f>Assumptions!$B$40/12*CW6</f>
        <v>15624.999999999998</v>
      </c>
      <c r="CX35" s="26">
        <f>Assumptions!$B$40/12*CX6</f>
        <v>15624.999999999998</v>
      </c>
      <c r="CY35" s="26">
        <f>Assumptions!$B$40/12*CY6</f>
        <v>15624.999999999998</v>
      </c>
      <c r="CZ35" s="26">
        <f>Assumptions!$B$40/12*CZ6</f>
        <v>15624.999999999998</v>
      </c>
      <c r="DA35" s="26">
        <f>Assumptions!$B$40/12*DA6</f>
        <v>15624.999999999998</v>
      </c>
      <c r="DB35" s="26">
        <f>Assumptions!$B$40/12*DB6</f>
        <v>15624.999999999998</v>
      </c>
      <c r="DC35" s="26">
        <f>Assumptions!$B$40/12*DC6</f>
        <v>15624.999999999998</v>
      </c>
      <c r="DD35" s="26">
        <f>Assumptions!$B$40/12*DD6</f>
        <v>15624.999999999998</v>
      </c>
      <c r="DE35" s="26">
        <f>Assumptions!$B$40/12*DE6</f>
        <v>15624.999999999998</v>
      </c>
      <c r="DF35" s="26">
        <f>Assumptions!$B$40/12*DF6</f>
        <v>15624.999999999998</v>
      </c>
      <c r="DG35" s="26">
        <f>Assumptions!$B$40/12*DG6</f>
        <v>15624.999999999998</v>
      </c>
      <c r="DH35" s="26">
        <f>Assumptions!$B$40/12*DH6</f>
        <v>15624.999999999998</v>
      </c>
      <c r="DI35" s="26">
        <f>Assumptions!$B$40/12*DI6</f>
        <v>15624.999999999998</v>
      </c>
      <c r="DJ35" s="26">
        <f>Assumptions!$B$40/12*DJ6</f>
        <v>15624.999999999998</v>
      </c>
      <c r="DK35" s="26">
        <f>Assumptions!$B$40/12*DK6</f>
        <v>15624.999999999998</v>
      </c>
      <c r="DL35" s="26">
        <f>Assumptions!$B$40/12*DL6</f>
        <v>15624.999999999998</v>
      </c>
      <c r="DM35" s="26">
        <f>Assumptions!$B$40/12*DM6</f>
        <v>15624.999999999998</v>
      </c>
      <c r="DN35" s="26">
        <f>Assumptions!$B$40/12*DN6</f>
        <v>15624.999999999998</v>
      </c>
      <c r="DO35" s="26">
        <f>Assumptions!$B$40/12*DO6</f>
        <v>15624.999999999998</v>
      </c>
      <c r="DP35" s="26">
        <f>Assumptions!$B$40/12*DP6</f>
        <v>15624.999999999998</v>
      </c>
      <c r="DQ35" s="26">
        <f>Assumptions!$B$40/12*DQ6</f>
        <v>15624.999999999998</v>
      </c>
      <c r="DR35" s="26">
        <f>Assumptions!$B$40/12*DR6</f>
        <v>15624.999999999998</v>
      </c>
    </row>
    <row r="36" spans="1:122" x14ac:dyDescent="0.2">
      <c r="A36" s="19" t="s">
        <v>106</v>
      </c>
      <c r="C36" s="32">
        <f t="shared" ref="C36:AH36" si="20">C29-C32-C33-C34-C35</f>
        <v>-78188.617838541672</v>
      </c>
      <c r="D36" s="32">
        <f t="shared" si="20"/>
        <v>-73405.881510416672</v>
      </c>
      <c r="E36" s="32">
        <f t="shared" si="20"/>
        <v>-68623.145182291672</v>
      </c>
      <c r="F36" s="32">
        <f t="shared" si="20"/>
        <v>-63840.408854166672</v>
      </c>
      <c r="G36" s="32">
        <f t="shared" si="20"/>
        <v>-59057.672526041672</v>
      </c>
      <c r="H36" s="32">
        <f t="shared" si="20"/>
        <v>-54274.936197916657</v>
      </c>
      <c r="I36" s="32">
        <f t="shared" si="20"/>
        <v>-49492.199869791672</v>
      </c>
      <c r="J36" s="32">
        <f t="shared" si="20"/>
        <v>-44709.463541666672</v>
      </c>
      <c r="K36" s="32">
        <f t="shared" si="20"/>
        <v>-39926.727213541686</v>
      </c>
      <c r="L36" s="32">
        <f t="shared" si="20"/>
        <v>-35143.990885416672</v>
      </c>
      <c r="M36" s="32">
        <f t="shared" si="20"/>
        <v>-30361.254557291675</v>
      </c>
      <c r="N36" s="32">
        <f t="shared" si="20"/>
        <v>-25578.518229166664</v>
      </c>
      <c r="O36" s="32">
        <f t="shared" si="20"/>
        <v>-19470.553795572912</v>
      </c>
      <c r="P36" s="32">
        <f t="shared" si="20"/>
        <v>-14580.702565104162</v>
      </c>
      <c r="Q36" s="32">
        <f t="shared" si="20"/>
        <v>-9690.8513346354193</v>
      </c>
      <c r="R36" s="32">
        <f t="shared" si="20"/>
        <v>-4801.0001041666656</v>
      </c>
      <c r="S36" s="32">
        <f t="shared" si="20"/>
        <v>88.851126302090961</v>
      </c>
      <c r="T36" s="32">
        <f t="shared" si="20"/>
        <v>4978.7023567708466</v>
      </c>
      <c r="U36" s="32">
        <f t="shared" si="20"/>
        <v>9868.5535872395703</v>
      </c>
      <c r="V36" s="32">
        <f t="shared" si="20"/>
        <v>14758.404817708346</v>
      </c>
      <c r="W36" s="32">
        <f t="shared" si="20"/>
        <v>19648.256048177092</v>
      </c>
      <c r="X36" s="32">
        <f t="shared" si="20"/>
        <v>24538.107278645846</v>
      </c>
      <c r="Y36" s="32">
        <f t="shared" si="20"/>
        <v>29427.958509114585</v>
      </c>
      <c r="Z36" s="32">
        <f t="shared" si="20"/>
        <v>34317.809739583332</v>
      </c>
      <c r="AA36" s="32">
        <f t="shared" si="20"/>
        <v>-14415.252277213553</v>
      </c>
      <c r="AB36" s="32">
        <f t="shared" si="20"/>
        <v>-4308.7993674479158</v>
      </c>
      <c r="AC36" s="32">
        <f t="shared" si="20"/>
        <v>5797.6535423176865</v>
      </c>
      <c r="AD36" s="32">
        <f t="shared" si="20"/>
        <v>15904.106452083332</v>
      </c>
      <c r="AE36" s="32">
        <f t="shared" si="20"/>
        <v>26010.559361848969</v>
      </c>
      <c r="AF36" s="32">
        <f t="shared" si="20"/>
        <v>36117.012271614549</v>
      </c>
      <c r="AG36" s="32">
        <f t="shared" si="20"/>
        <v>46223.465181380183</v>
      </c>
      <c r="AH36" s="32">
        <f t="shared" si="20"/>
        <v>56329.918091145817</v>
      </c>
      <c r="AI36" s="32">
        <f t="shared" ref="AI36:BN36" si="21">AI29-AI32-AI33-AI34-AI35</f>
        <v>66436.371000911458</v>
      </c>
      <c r="AJ36" s="32">
        <f t="shared" si="21"/>
        <v>76542.823910677092</v>
      </c>
      <c r="AK36" s="32">
        <f t="shared" si="21"/>
        <v>86649.276820442741</v>
      </c>
      <c r="AL36" s="32">
        <f t="shared" si="21"/>
        <v>96755.729730208332</v>
      </c>
      <c r="AM36" s="32">
        <f t="shared" si="21"/>
        <v>60138.259026749307</v>
      </c>
      <c r="AN36" s="32">
        <f t="shared" si="21"/>
        <v>69733.864814196582</v>
      </c>
      <c r="AO36" s="32">
        <f t="shared" si="21"/>
        <v>79329.470601643843</v>
      </c>
      <c r="AP36" s="32">
        <f t="shared" si="21"/>
        <v>88925.076389091104</v>
      </c>
      <c r="AQ36" s="32">
        <f t="shared" si="21"/>
        <v>98520.68217653835</v>
      </c>
      <c r="AR36" s="32">
        <f t="shared" si="21"/>
        <v>108116.2879639856</v>
      </c>
      <c r="AS36" s="32">
        <f t="shared" si="21"/>
        <v>117711.8937514329</v>
      </c>
      <c r="AT36" s="32">
        <f t="shared" si="21"/>
        <v>127307.4995388801</v>
      </c>
      <c r="AU36" s="32">
        <f t="shared" si="21"/>
        <v>136903.10532632741</v>
      </c>
      <c r="AV36" s="32">
        <f t="shared" si="21"/>
        <v>146498.71111377471</v>
      </c>
      <c r="AW36" s="32">
        <f t="shared" si="21"/>
        <v>156094.31690122187</v>
      </c>
      <c r="AX36" s="32">
        <f t="shared" si="21"/>
        <v>165689.92268866923</v>
      </c>
      <c r="AY36" s="32">
        <f t="shared" si="21"/>
        <v>104411.45323236546</v>
      </c>
      <c r="AZ36" s="32">
        <f t="shared" si="21"/>
        <v>121772.87837743279</v>
      </c>
      <c r="BA36" s="32">
        <f t="shared" si="21"/>
        <v>139134.30352250018</v>
      </c>
      <c r="BB36" s="32">
        <f t="shared" si="21"/>
        <v>156495.72866756751</v>
      </c>
      <c r="BC36" s="32">
        <f t="shared" si="21"/>
        <v>173857.15381263496</v>
      </c>
      <c r="BD36" s="32">
        <f t="shared" si="21"/>
        <v>191218.57895770235</v>
      </c>
      <c r="BE36" s="32">
        <f t="shared" si="21"/>
        <v>208580.00410276963</v>
      </c>
      <c r="BF36" s="32">
        <f t="shared" si="21"/>
        <v>225941.42924783696</v>
      </c>
      <c r="BG36" s="32">
        <f t="shared" si="21"/>
        <v>243302.85439290441</v>
      </c>
      <c r="BH36" s="32">
        <f t="shared" si="21"/>
        <v>260664.27953797171</v>
      </c>
      <c r="BI36" s="32">
        <f t="shared" si="21"/>
        <v>278025.70468303905</v>
      </c>
      <c r="BJ36" s="32">
        <f t="shared" si="21"/>
        <v>295387.1298281065</v>
      </c>
      <c r="BK36" s="32">
        <f t="shared" si="21"/>
        <v>245033.48568844079</v>
      </c>
      <c r="BL36" s="32">
        <f t="shared" si="21"/>
        <v>265107.23425137135</v>
      </c>
      <c r="BM36" s="32">
        <f t="shared" si="21"/>
        <v>285180.98281430203</v>
      </c>
      <c r="BN36" s="32">
        <f t="shared" si="21"/>
        <v>305254.73137723265</v>
      </c>
      <c r="BO36" s="32">
        <f t="shared" ref="BO36:CT36" si="22">BO29-BO32-BO33-BO34-BO35</f>
        <v>325328.4799401632</v>
      </c>
      <c r="BP36" s="32">
        <f t="shared" si="22"/>
        <v>345402.22850309388</v>
      </c>
      <c r="BQ36" s="32">
        <f t="shared" si="22"/>
        <v>365475.97706602444</v>
      </c>
      <c r="BR36" s="32">
        <f t="shared" si="22"/>
        <v>385549.72562895494</v>
      </c>
      <c r="BS36" s="32">
        <f t="shared" si="22"/>
        <v>405623.47419188556</v>
      </c>
      <c r="BT36" s="32">
        <f t="shared" si="22"/>
        <v>425697.22275481623</v>
      </c>
      <c r="BU36" s="32">
        <f t="shared" si="22"/>
        <v>445770.97131774679</v>
      </c>
      <c r="BV36" s="32">
        <f t="shared" si="22"/>
        <v>465844.71988067753</v>
      </c>
      <c r="BW36" s="32">
        <f t="shared" si="22"/>
        <v>424586.24496779393</v>
      </c>
      <c r="BX36" s="32">
        <f t="shared" si="22"/>
        <v>448280.44338008459</v>
      </c>
      <c r="BY36" s="32">
        <f t="shared" si="22"/>
        <v>471974.64179237513</v>
      </c>
      <c r="BZ36" s="32">
        <f t="shared" si="22"/>
        <v>495668.84020466579</v>
      </c>
      <c r="CA36" s="32">
        <f t="shared" si="22"/>
        <v>519363.03861695656</v>
      </c>
      <c r="CB36" s="32">
        <f t="shared" si="22"/>
        <v>543057.23702924699</v>
      </c>
      <c r="CC36" s="32">
        <f t="shared" si="22"/>
        <v>566751.43544153776</v>
      </c>
      <c r="CD36" s="32">
        <f t="shared" si="22"/>
        <v>590445.6338538283</v>
      </c>
      <c r="CE36" s="32">
        <f t="shared" si="22"/>
        <v>614139.83226611896</v>
      </c>
      <c r="CF36" s="32">
        <f t="shared" si="22"/>
        <v>637834.03067840962</v>
      </c>
      <c r="CG36" s="32">
        <f t="shared" si="22"/>
        <v>661528.22909070004</v>
      </c>
      <c r="CH36" s="32">
        <f t="shared" si="22"/>
        <v>685222.42750299082</v>
      </c>
      <c r="CI36" s="32">
        <f t="shared" si="22"/>
        <v>732123.56150470895</v>
      </c>
      <c r="CJ36" s="32">
        <f t="shared" si="22"/>
        <v>748285.12462281506</v>
      </c>
      <c r="CK36" s="32">
        <f t="shared" si="22"/>
        <v>764446.68774092128</v>
      </c>
      <c r="CL36" s="32">
        <f t="shared" si="22"/>
        <v>780608.25085902761</v>
      </c>
      <c r="CM36" s="32">
        <f t="shared" si="22"/>
        <v>796769.81397713383</v>
      </c>
      <c r="CN36" s="32">
        <f t="shared" si="22"/>
        <v>812931.37709523994</v>
      </c>
      <c r="CO36" s="32">
        <f t="shared" si="22"/>
        <v>829092.94021334616</v>
      </c>
      <c r="CP36" s="32">
        <f t="shared" si="22"/>
        <v>845254.50333145249</v>
      </c>
      <c r="CQ36" s="32">
        <f t="shared" si="22"/>
        <v>861416.0664495586</v>
      </c>
      <c r="CR36" s="32">
        <f t="shared" si="22"/>
        <v>877577.6295676647</v>
      </c>
      <c r="CS36" s="32">
        <f t="shared" si="22"/>
        <v>893739.19268577104</v>
      </c>
      <c r="CT36" s="32">
        <f t="shared" si="22"/>
        <v>909900.75580387725</v>
      </c>
      <c r="CU36" s="32">
        <f t="shared" ref="CU36:DZ36" si="23">CU29-CU32-CU33-CU34-CU35</f>
        <v>954441.40067159652</v>
      </c>
      <c r="CV36" s="32">
        <f t="shared" si="23"/>
        <v>962710.37911492097</v>
      </c>
      <c r="CW36" s="32">
        <f t="shared" si="23"/>
        <v>970979.35755824565</v>
      </c>
      <c r="CX36" s="32">
        <f t="shared" si="23"/>
        <v>979248.33600157069</v>
      </c>
      <c r="CY36" s="32">
        <f t="shared" si="23"/>
        <v>987517.31444489525</v>
      </c>
      <c r="CZ36" s="32">
        <f t="shared" si="23"/>
        <v>995786.29288822005</v>
      </c>
      <c r="DA36" s="32">
        <f t="shared" si="23"/>
        <v>1004055.2713315446</v>
      </c>
      <c r="DB36" s="32">
        <f t="shared" si="23"/>
        <v>1012324.2497748692</v>
      </c>
      <c r="DC36" s="32">
        <f t="shared" si="23"/>
        <v>1020593.228218194</v>
      </c>
      <c r="DD36" s="32">
        <f t="shared" si="23"/>
        <v>1028862.2066615188</v>
      </c>
      <c r="DE36" s="32">
        <f t="shared" si="23"/>
        <v>1037131.1851048432</v>
      </c>
      <c r="DF36" s="32">
        <f t="shared" si="23"/>
        <v>1045400.163548168</v>
      </c>
      <c r="DG36" s="32">
        <f t="shared" si="23"/>
        <v>1085182.8221423996</v>
      </c>
      <c r="DH36" s="32">
        <f t="shared" si="23"/>
        <v>1085182.8221423996</v>
      </c>
      <c r="DI36" s="32">
        <f t="shared" si="23"/>
        <v>1085182.8221423996</v>
      </c>
      <c r="DJ36" s="32">
        <f t="shared" si="23"/>
        <v>1085182.8221423996</v>
      </c>
      <c r="DK36" s="32">
        <f t="shared" si="23"/>
        <v>1085182.8221423996</v>
      </c>
      <c r="DL36" s="32">
        <f t="shared" si="23"/>
        <v>1085182.8221423996</v>
      </c>
      <c r="DM36" s="32">
        <f t="shared" si="23"/>
        <v>1085182.8221423996</v>
      </c>
      <c r="DN36" s="32">
        <f t="shared" si="23"/>
        <v>1085182.8221423996</v>
      </c>
      <c r="DO36" s="32">
        <f t="shared" si="23"/>
        <v>1085182.8221423996</v>
      </c>
      <c r="DP36" s="32">
        <f t="shared" si="23"/>
        <v>1085182.8221423996</v>
      </c>
      <c r="DQ36" s="32">
        <f t="shared" si="23"/>
        <v>1085182.8221423996</v>
      </c>
      <c r="DR36" s="32">
        <f t="shared" si="23"/>
        <v>1085182.8221423996</v>
      </c>
    </row>
    <row r="37" spans="1:122" x14ac:dyDescent="0.2">
      <c r="A37" s="9" t="s">
        <v>107</v>
      </c>
      <c r="C37" s="26">
        <f t="array" ref="C37">SUMPRODUCT((Assumptions!$C$4:$C$9&lt;=C2)*'Acq &amp; Financing'!$E$4:$E$9*Assumptions!$E$4:$E$9)/12</f>
        <v>76920.416015625015</v>
      </c>
      <c r="D37" s="26">
        <f>SUMPRODUCT((Assumptions!$C$4:$C$9&lt;=D2)*'Acq &amp; Financing'!$E$4:$E$9*Assumptions!$E$4:$E$9)/12</f>
        <v>76920.416015625015</v>
      </c>
      <c r="E37" s="26">
        <f>SUMPRODUCT((Assumptions!$C$4:$C$9&lt;=E2)*'Acq &amp; Financing'!$E$4:$E$9*Assumptions!$E$4:$E$9)/12</f>
        <v>76920.416015625015</v>
      </c>
      <c r="F37" s="26">
        <f>SUMPRODUCT((Assumptions!$C$4:$C$9&lt;=F2)*'Acq &amp; Financing'!$E$4:$E$9*Assumptions!$E$4:$E$9)/12</f>
        <v>76920.416015625015</v>
      </c>
      <c r="G37" s="26">
        <f>SUMPRODUCT((Assumptions!$C$4:$C$9&lt;=G2)*'Acq &amp; Financing'!$E$4:$E$9*Assumptions!$E$4:$E$9)/12</f>
        <v>76920.416015625015</v>
      </c>
      <c r="H37" s="26">
        <f>SUMPRODUCT((Assumptions!$C$4:$C$9&lt;=H2)*'Acq &amp; Financing'!$E$4:$E$9*Assumptions!$E$4:$E$9)/12</f>
        <v>76920.416015625015</v>
      </c>
      <c r="I37" s="26">
        <f>SUMPRODUCT((Assumptions!$C$4:$C$9&lt;=I2)*'Acq &amp; Financing'!$E$4:$E$9*Assumptions!$E$4:$E$9)/12</f>
        <v>76920.416015625015</v>
      </c>
      <c r="J37" s="26">
        <f>SUMPRODUCT((Assumptions!$C$4:$C$9&lt;=J2)*'Acq &amp; Financing'!$E$4:$E$9*Assumptions!$E$4:$E$9)/12</f>
        <v>76920.416015625015</v>
      </c>
      <c r="K37" s="26">
        <f>SUMPRODUCT((Assumptions!$C$4:$C$9&lt;=K2)*'Acq &amp; Financing'!$E$4:$E$9*Assumptions!$E$4:$E$9)/12</f>
        <v>76920.416015625015</v>
      </c>
      <c r="L37" s="26">
        <f>SUMPRODUCT((Assumptions!$C$4:$C$9&lt;=L2)*'Acq &amp; Financing'!$E$4:$E$9*Assumptions!$E$4:$E$9)/12</f>
        <v>76920.416015625015</v>
      </c>
      <c r="M37" s="26">
        <f>SUMPRODUCT((Assumptions!$C$4:$C$9&lt;=M2)*'Acq &amp; Financing'!$E$4:$E$9*Assumptions!$E$4:$E$9)/12</f>
        <v>76920.416015625015</v>
      </c>
      <c r="N37" s="26">
        <f>SUMPRODUCT((Assumptions!$C$4:$C$9&lt;=N2)*'Acq &amp; Financing'!$E$4:$E$9*Assumptions!$E$4:$E$9)/12</f>
        <v>76920.416015625015</v>
      </c>
      <c r="O37" s="26">
        <f>SUMPRODUCT((Assumptions!$C$4:$C$9&lt;=O2)*'Acq &amp; Financing'!$E$4:$E$9*Assumptions!$E$4:$E$9)/12</f>
        <v>76920.416015625015</v>
      </c>
      <c r="P37" s="26">
        <f>SUMPRODUCT((Assumptions!$C$4:$C$9&lt;=P2)*'Acq &amp; Financing'!$E$4:$E$9*Assumptions!$E$4:$E$9)/12</f>
        <v>76920.416015625015</v>
      </c>
      <c r="Q37" s="26">
        <f>SUMPRODUCT((Assumptions!$C$4:$C$9&lt;=Q2)*'Acq &amp; Financing'!$E$4:$E$9*Assumptions!$E$4:$E$9)/12</f>
        <v>76920.416015625015</v>
      </c>
      <c r="R37" s="26">
        <f>SUMPRODUCT((Assumptions!$C$4:$C$9&lt;=R2)*'Acq &amp; Financing'!$E$4:$E$9*Assumptions!$E$4:$E$9)/12</f>
        <v>76920.416015625015</v>
      </c>
      <c r="S37" s="26">
        <f>SUMPRODUCT((Assumptions!$C$4:$C$9&lt;=S2)*'Acq &amp; Financing'!$E$4:$E$9*Assumptions!$E$4:$E$9)/12</f>
        <v>76920.416015625015</v>
      </c>
      <c r="T37" s="26">
        <f>SUMPRODUCT((Assumptions!$C$4:$C$9&lt;=T2)*'Acq &amp; Financing'!$E$4:$E$9*Assumptions!$E$4:$E$9)/12</f>
        <v>76920.416015625015</v>
      </c>
      <c r="U37" s="26">
        <f>SUMPRODUCT((Assumptions!$C$4:$C$9&lt;=U2)*'Acq &amp; Financing'!$E$4:$E$9*Assumptions!$E$4:$E$9)/12</f>
        <v>76920.416015625015</v>
      </c>
      <c r="V37" s="26">
        <f>SUMPRODUCT((Assumptions!$C$4:$C$9&lt;=V2)*'Acq &amp; Financing'!$E$4:$E$9*Assumptions!$E$4:$E$9)/12</f>
        <v>76920.416015625015</v>
      </c>
      <c r="W37" s="26">
        <f>SUMPRODUCT((Assumptions!$C$4:$C$9&lt;=W2)*'Acq &amp; Financing'!$E$4:$E$9*Assumptions!$E$4:$E$9)/12</f>
        <v>76920.416015625015</v>
      </c>
      <c r="X37" s="26">
        <f>SUMPRODUCT((Assumptions!$C$4:$C$9&lt;=X2)*'Acq &amp; Financing'!$E$4:$E$9*Assumptions!$E$4:$E$9)/12</f>
        <v>76920.416015625015</v>
      </c>
      <c r="Y37" s="26">
        <f>SUMPRODUCT((Assumptions!$C$4:$C$9&lt;=Y2)*'Acq &amp; Financing'!$E$4:$E$9*Assumptions!$E$4:$E$9)/12</f>
        <v>76920.416015625015</v>
      </c>
      <c r="Z37" s="26">
        <f>SUMPRODUCT((Assumptions!$C$4:$C$9&lt;=Z2)*'Acq &amp; Financing'!$E$4:$E$9*Assumptions!$E$4:$E$9)/12</f>
        <v>76920.416015625015</v>
      </c>
      <c r="AA37" s="26">
        <f>SUMPRODUCT((Assumptions!$C$4:$C$9&lt;=AA2)*'Acq &amp; Financing'!$E$4:$E$9*Assumptions!$E$4:$E$9)/12</f>
        <v>153840.83203125003</v>
      </c>
      <c r="AB37" s="26">
        <f>SUMPRODUCT((Assumptions!$C$4:$C$9&lt;=AB2)*'Acq &amp; Financing'!$E$4:$E$9*Assumptions!$E$4:$E$9)/12</f>
        <v>153840.83203125003</v>
      </c>
      <c r="AC37" s="26">
        <f>SUMPRODUCT((Assumptions!$C$4:$C$9&lt;=AC2)*'Acq &amp; Financing'!$E$4:$E$9*Assumptions!$E$4:$E$9)/12</f>
        <v>153840.83203125003</v>
      </c>
      <c r="AD37" s="26">
        <f>SUMPRODUCT((Assumptions!$C$4:$C$9&lt;=AD2)*'Acq &amp; Financing'!$E$4:$E$9*Assumptions!$E$4:$E$9)/12</f>
        <v>153840.83203125003</v>
      </c>
      <c r="AE37" s="26">
        <f>SUMPRODUCT((Assumptions!$C$4:$C$9&lt;=AE2)*'Acq &amp; Financing'!$E$4:$E$9*Assumptions!$E$4:$E$9)/12</f>
        <v>153840.83203125003</v>
      </c>
      <c r="AF37" s="26">
        <f>SUMPRODUCT((Assumptions!$C$4:$C$9&lt;=AF2)*'Acq &amp; Financing'!$E$4:$E$9*Assumptions!$E$4:$E$9)/12</f>
        <v>153840.83203125003</v>
      </c>
      <c r="AG37" s="26">
        <f>SUMPRODUCT((Assumptions!$C$4:$C$9&lt;=AG2)*'Acq &amp; Financing'!$E$4:$E$9*Assumptions!$E$4:$E$9)/12</f>
        <v>153840.83203125003</v>
      </c>
      <c r="AH37" s="26">
        <f>SUMPRODUCT((Assumptions!$C$4:$C$9&lt;=AH2)*'Acq &amp; Financing'!$E$4:$E$9*Assumptions!$E$4:$E$9)/12</f>
        <v>153840.83203125003</v>
      </c>
      <c r="AI37" s="26">
        <f>SUMPRODUCT((Assumptions!$C$4:$C$9&lt;=AI2)*'Acq &amp; Financing'!$E$4:$E$9*Assumptions!$E$4:$E$9)/12</f>
        <v>153840.83203125003</v>
      </c>
      <c r="AJ37" s="26">
        <f>SUMPRODUCT((Assumptions!$C$4:$C$9&lt;=AJ2)*'Acq &amp; Financing'!$E$4:$E$9*Assumptions!$E$4:$E$9)/12</f>
        <v>153840.83203125003</v>
      </c>
      <c r="AK37" s="26">
        <f>SUMPRODUCT((Assumptions!$C$4:$C$9&lt;=AK2)*'Acq &amp; Financing'!$E$4:$E$9*Assumptions!$E$4:$E$9)/12</f>
        <v>153840.83203125003</v>
      </c>
      <c r="AL37" s="26">
        <f>SUMPRODUCT((Assumptions!$C$4:$C$9&lt;=AL2)*'Acq &amp; Financing'!$E$4:$E$9*Assumptions!$E$4:$E$9)/12</f>
        <v>153840.83203125003</v>
      </c>
      <c r="AM37" s="26">
        <f>SUMPRODUCT((Assumptions!$C$4:$C$9&lt;=AM2)*'Acq &amp; Financing'!$E$4:$E$9*Assumptions!$E$4:$E$9)/12</f>
        <v>212446.86328125</v>
      </c>
      <c r="AN37" s="26">
        <f>SUMPRODUCT((Assumptions!$C$4:$C$9&lt;=AN2)*'Acq &amp; Financing'!$E$4:$E$9*Assumptions!$E$4:$E$9)/12</f>
        <v>212446.86328125</v>
      </c>
      <c r="AO37" s="26">
        <f>SUMPRODUCT((Assumptions!$C$4:$C$9&lt;=AO2)*'Acq &amp; Financing'!$E$4:$E$9*Assumptions!$E$4:$E$9)/12</f>
        <v>212446.86328125</v>
      </c>
      <c r="AP37" s="26">
        <f>SUMPRODUCT((Assumptions!$C$4:$C$9&lt;=AP2)*'Acq &amp; Financing'!$E$4:$E$9*Assumptions!$E$4:$E$9)/12</f>
        <v>212446.86328125</v>
      </c>
      <c r="AQ37" s="26">
        <f>SUMPRODUCT((Assumptions!$C$4:$C$9&lt;=AQ2)*'Acq &amp; Financing'!$E$4:$E$9*Assumptions!$E$4:$E$9)/12</f>
        <v>212446.86328125</v>
      </c>
      <c r="AR37" s="26">
        <f>SUMPRODUCT((Assumptions!$C$4:$C$9&lt;=AR2)*'Acq &amp; Financing'!$E$4:$E$9*Assumptions!$E$4:$E$9)/12</f>
        <v>212446.86328125</v>
      </c>
      <c r="AS37" s="26">
        <f>SUMPRODUCT((Assumptions!$C$4:$C$9&lt;=AS2)*'Acq &amp; Financing'!$E$4:$E$9*Assumptions!$E$4:$E$9)/12</f>
        <v>212446.86328125</v>
      </c>
      <c r="AT37" s="26">
        <f>SUMPRODUCT((Assumptions!$C$4:$C$9&lt;=AT2)*'Acq &amp; Financing'!$E$4:$E$9*Assumptions!$E$4:$E$9)/12</f>
        <v>212446.86328125</v>
      </c>
      <c r="AU37" s="26">
        <f>SUMPRODUCT((Assumptions!$C$4:$C$9&lt;=AU2)*'Acq &amp; Financing'!$E$4:$E$9*Assumptions!$E$4:$E$9)/12</f>
        <v>212446.86328125</v>
      </c>
      <c r="AV37" s="26">
        <f>SUMPRODUCT((Assumptions!$C$4:$C$9&lt;=AV2)*'Acq &amp; Financing'!$E$4:$E$9*Assumptions!$E$4:$E$9)/12</f>
        <v>212446.86328125</v>
      </c>
      <c r="AW37" s="26">
        <f>SUMPRODUCT((Assumptions!$C$4:$C$9&lt;=AW2)*'Acq &amp; Financing'!$E$4:$E$9*Assumptions!$E$4:$E$9)/12</f>
        <v>212446.86328125</v>
      </c>
      <c r="AX37" s="26">
        <f>SUMPRODUCT((Assumptions!$C$4:$C$9&lt;=AX2)*'Acq &amp; Financing'!$E$4:$E$9*Assumptions!$E$4:$E$9)/12</f>
        <v>212446.86328125</v>
      </c>
      <c r="AY37" s="26">
        <f>SUMPRODUCT((Assumptions!$C$4:$C$9&lt;=AY2)*'Acq &amp; Financing'!$E$4:$E$9*Assumptions!$E$4:$E$9)/12</f>
        <v>310123.58203125</v>
      </c>
      <c r="AZ37" s="26">
        <f>SUMPRODUCT((Assumptions!$C$4:$C$9&lt;=AZ2)*'Acq &amp; Financing'!$E$4:$E$9*Assumptions!$E$4:$E$9)/12</f>
        <v>310123.58203125</v>
      </c>
      <c r="BA37" s="26">
        <f>SUMPRODUCT((Assumptions!$C$4:$C$9&lt;=BA2)*'Acq &amp; Financing'!$E$4:$E$9*Assumptions!$E$4:$E$9)/12</f>
        <v>310123.58203125</v>
      </c>
      <c r="BB37" s="26">
        <f>SUMPRODUCT((Assumptions!$C$4:$C$9&lt;=BB2)*'Acq &amp; Financing'!$E$4:$E$9*Assumptions!$E$4:$E$9)/12</f>
        <v>310123.58203125</v>
      </c>
      <c r="BC37" s="26">
        <f>SUMPRODUCT((Assumptions!$C$4:$C$9&lt;=BC2)*'Acq &amp; Financing'!$E$4:$E$9*Assumptions!$E$4:$E$9)/12</f>
        <v>310123.58203125</v>
      </c>
      <c r="BD37" s="26">
        <f>SUMPRODUCT((Assumptions!$C$4:$C$9&lt;=BD2)*'Acq &amp; Financing'!$E$4:$E$9*Assumptions!$E$4:$E$9)/12</f>
        <v>310123.58203125</v>
      </c>
      <c r="BE37" s="26">
        <f>SUMPRODUCT((Assumptions!$C$4:$C$9&lt;=BE2)*'Acq &amp; Financing'!$E$4:$E$9*Assumptions!$E$4:$E$9)/12</f>
        <v>310123.58203125</v>
      </c>
      <c r="BF37" s="26">
        <f>SUMPRODUCT((Assumptions!$C$4:$C$9&lt;=BF2)*'Acq &amp; Financing'!$E$4:$E$9*Assumptions!$E$4:$E$9)/12</f>
        <v>310123.58203125</v>
      </c>
      <c r="BG37" s="26">
        <f>SUMPRODUCT((Assumptions!$C$4:$C$9&lt;=BG2)*'Acq &amp; Financing'!$E$4:$E$9*Assumptions!$E$4:$E$9)/12</f>
        <v>310123.58203125</v>
      </c>
      <c r="BH37" s="26">
        <f>SUMPRODUCT((Assumptions!$C$4:$C$9&lt;=BH2)*'Acq &amp; Financing'!$E$4:$E$9*Assumptions!$E$4:$E$9)/12</f>
        <v>310123.58203125</v>
      </c>
      <c r="BI37" s="26">
        <f>SUMPRODUCT((Assumptions!$C$4:$C$9&lt;=BI2)*'Acq &amp; Financing'!$E$4:$E$9*Assumptions!$E$4:$E$9)/12</f>
        <v>310123.58203125</v>
      </c>
      <c r="BJ37" s="26">
        <f>SUMPRODUCT((Assumptions!$C$4:$C$9&lt;=BJ2)*'Acq &amp; Financing'!$E$4:$E$9*Assumptions!$E$4:$E$9)/12</f>
        <v>310123.58203125</v>
      </c>
      <c r="BK37" s="26">
        <f>SUMPRODUCT((Assumptions!$C$4:$C$9&lt;=BK2)*'Acq &amp; Financing'!$E$4:$E$9*Assumptions!$E$4:$E$9)/12</f>
        <v>403730.4375</v>
      </c>
      <c r="BL37" s="26">
        <f>SUMPRODUCT((Assumptions!$C$4:$C$9&lt;=BL2)*'Acq &amp; Financing'!$E$4:$E$9*Assumptions!$E$4:$E$9)/12</f>
        <v>403730.4375</v>
      </c>
      <c r="BM37" s="26">
        <f>SUMPRODUCT((Assumptions!$C$4:$C$9&lt;=BM2)*'Acq &amp; Financing'!$E$4:$E$9*Assumptions!$E$4:$E$9)/12</f>
        <v>403730.4375</v>
      </c>
      <c r="BN37" s="26">
        <f>SUMPRODUCT((Assumptions!$C$4:$C$9&lt;=BN2)*'Acq &amp; Financing'!$E$4:$E$9*Assumptions!$E$4:$E$9)/12</f>
        <v>403730.4375</v>
      </c>
      <c r="BO37" s="26">
        <f>SUMPRODUCT((Assumptions!$C$4:$C$9&lt;=BO2)*'Acq &amp; Financing'!$E$4:$E$9*Assumptions!$E$4:$E$9)/12</f>
        <v>403730.4375</v>
      </c>
      <c r="BP37" s="26">
        <f>SUMPRODUCT((Assumptions!$C$4:$C$9&lt;=BP2)*'Acq &amp; Financing'!$E$4:$E$9*Assumptions!$E$4:$E$9)/12</f>
        <v>403730.4375</v>
      </c>
      <c r="BQ37" s="26">
        <f>SUMPRODUCT((Assumptions!$C$4:$C$9&lt;=BQ2)*'Acq &amp; Financing'!$E$4:$E$9*Assumptions!$E$4:$E$9)/12</f>
        <v>403730.4375</v>
      </c>
      <c r="BR37" s="26">
        <f>SUMPRODUCT((Assumptions!$C$4:$C$9&lt;=BR2)*'Acq &amp; Financing'!$E$4:$E$9*Assumptions!$E$4:$E$9)/12</f>
        <v>403730.4375</v>
      </c>
      <c r="BS37" s="26">
        <f>SUMPRODUCT((Assumptions!$C$4:$C$9&lt;=BS2)*'Acq &amp; Financing'!$E$4:$E$9*Assumptions!$E$4:$E$9)/12</f>
        <v>403730.4375</v>
      </c>
      <c r="BT37" s="26">
        <f>SUMPRODUCT((Assumptions!$C$4:$C$9&lt;=BT2)*'Acq &amp; Financing'!$E$4:$E$9*Assumptions!$E$4:$E$9)/12</f>
        <v>403730.4375</v>
      </c>
      <c r="BU37" s="26">
        <f>SUMPRODUCT((Assumptions!$C$4:$C$9&lt;=BU2)*'Acq &amp; Financing'!$E$4:$E$9*Assumptions!$E$4:$E$9)/12</f>
        <v>403730.4375</v>
      </c>
      <c r="BV37" s="26">
        <f>SUMPRODUCT((Assumptions!$C$4:$C$9&lt;=BV2)*'Acq &amp; Financing'!$E$4:$E$9*Assumptions!$E$4:$E$9)/12</f>
        <v>403730.4375</v>
      </c>
      <c r="BW37" s="26">
        <f>SUMPRODUCT((Assumptions!$C$4:$C$9&lt;=BW2)*'Acq &amp; Financing'!$E$4:$E$9*Assumptions!$E$4:$E$9)/12</f>
        <v>497337.29296875</v>
      </c>
      <c r="BX37" s="26">
        <f>SUMPRODUCT((Assumptions!$C$4:$C$9&lt;=BX2)*'Acq &amp; Financing'!$E$4:$E$9*Assumptions!$E$4:$E$9)/12</f>
        <v>497337.29296875</v>
      </c>
      <c r="BY37" s="26">
        <f>SUMPRODUCT((Assumptions!$C$4:$C$9&lt;=BY2)*'Acq &amp; Financing'!$E$4:$E$9*Assumptions!$E$4:$E$9)/12</f>
        <v>497337.29296875</v>
      </c>
      <c r="BZ37" s="26">
        <f>SUMPRODUCT((Assumptions!$C$4:$C$9&lt;=BZ2)*'Acq &amp; Financing'!$E$4:$E$9*Assumptions!$E$4:$E$9)/12</f>
        <v>497337.29296875</v>
      </c>
      <c r="CA37" s="26">
        <f>SUMPRODUCT((Assumptions!$C$4:$C$9&lt;=CA2)*'Acq &amp; Financing'!$E$4:$E$9*Assumptions!$E$4:$E$9)/12</f>
        <v>497337.29296875</v>
      </c>
      <c r="CB37" s="26">
        <f>SUMPRODUCT((Assumptions!$C$4:$C$9&lt;=CB2)*'Acq &amp; Financing'!$E$4:$E$9*Assumptions!$E$4:$E$9)/12</f>
        <v>497337.29296875</v>
      </c>
      <c r="CC37" s="26">
        <f>SUMPRODUCT((Assumptions!$C$4:$C$9&lt;=CC2)*'Acq &amp; Financing'!$E$4:$E$9*Assumptions!$E$4:$E$9)/12</f>
        <v>497337.29296875</v>
      </c>
      <c r="CD37" s="26">
        <f>SUMPRODUCT((Assumptions!$C$4:$C$9&lt;=CD2)*'Acq &amp; Financing'!$E$4:$E$9*Assumptions!$E$4:$E$9)/12</f>
        <v>497337.29296875</v>
      </c>
      <c r="CE37" s="26">
        <f>SUMPRODUCT((Assumptions!$C$4:$C$9&lt;=CE2)*'Acq &amp; Financing'!$E$4:$E$9*Assumptions!$E$4:$E$9)/12</f>
        <v>497337.29296875</v>
      </c>
      <c r="CF37" s="26">
        <f>SUMPRODUCT((Assumptions!$C$4:$C$9&lt;=CF2)*'Acq &amp; Financing'!$E$4:$E$9*Assumptions!$E$4:$E$9)/12</f>
        <v>497337.29296875</v>
      </c>
      <c r="CG37" s="26">
        <f>SUMPRODUCT((Assumptions!$C$4:$C$9&lt;=CG2)*'Acq &amp; Financing'!$E$4:$E$9*Assumptions!$E$4:$E$9)/12</f>
        <v>497337.29296875</v>
      </c>
      <c r="CH37" s="26">
        <f>SUMPRODUCT((Assumptions!$C$4:$C$9&lt;=CH2)*'Acq &amp; Financing'!$E$4:$E$9*Assumptions!$E$4:$E$9)/12</f>
        <v>497337.29296875</v>
      </c>
      <c r="CI37" s="26">
        <f>SUMPRODUCT((Assumptions!$C$4:$C$9&lt;=CI2)*'Acq &amp; Financing'!$E$4:$E$9*Assumptions!$E$4:$E$9)/12</f>
        <v>497337.29296875</v>
      </c>
      <c r="CJ37" s="26">
        <f>SUMPRODUCT((Assumptions!$C$4:$C$9&lt;=CJ2)*'Acq &amp; Financing'!$E$4:$E$9*Assumptions!$E$4:$E$9)/12</f>
        <v>497337.29296875</v>
      </c>
      <c r="CK37" s="26">
        <f>SUMPRODUCT((Assumptions!$C$4:$C$9&lt;=CK2)*'Acq &amp; Financing'!$E$4:$E$9*Assumptions!$E$4:$E$9)/12</f>
        <v>497337.29296875</v>
      </c>
      <c r="CL37" s="26">
        <f>SUMPRODUCT((Assumptions!$C$4:$C$9&lt;=CL2)*'Acq &amp; Financing'!$E$4:$E$9*Assumptions!$E$4:$E$9)/12</f>
        <v>497337.29296875</v>
      </c>
      <c r="CM37" s="26">
        <f>SUMPRODUCT((Assumptions!$C$4:$C$9&lt;=CM2)*'Acq &amp; Financing'!$E$4:$E$9*Assumptions!$E$4:$E$9)/12</f>
        <v>497337.29296875</v>
      </c>
      <c r="CN37" s="26">
        <f>SUMPRODUCT((Assumptions!$C$4:$C$9&lt;=CN2)*'Acq &amp; Financing'!$E$4:$E$9*Assumptions!$E$4:$E$9)/12</f>
        <v>497337.29296875</v>
      </c>
      <c r="CO37" s="26">
        <f>SUMPRODUCT((Assumptions!$C$4:$C$9&lt;=CO2)*'Acq &amp; Financing'!$E$4:$E$9*Assumptions!$E$4:$E$9)/12</f>
        <v>497337.29296875</v>
      </c>
      <c r="CP37" s="26">
        <f>SUMPRODUCT((Assumptions!$C$4:$C$9&lt;=CP2)*'Acq &amp; Financing'!$E$4:$E$9*Assumptions!$E$4:$E$9)/12</f>
        <v>497337.29296875</v>
      </c>
      <c r="CQ37" s="26">
        <f>SUMPRODUCT((Assumptions!$C$4:$C$9&lt;=CQ2)*'Acq &amp; Financing'!$E$4:$E$9*Assumptions!$E$4:$E$9)/12</f>
        <v>497337.29296875</v>
      </c>
      <c r="CR37" s="26">
        <f>SUMPRODUCT((Assumptions!$C$4:$C$9&lt;=CR2)*'Acq &amp; Financing'!$E$4:$E$9*Assumptions!$E$4:$E$9)/12</f>
        <v>497337.29296875</v>
      </c>
      <c r="CS37" s="26">
        <f>SUMPRODUCT((Assumptions!$C$4:$C$9&lt;=CS2)*'Acq &amp; Financing'!$E$4:$E$9*Assumptions!$E$4:$E$9)/12</f>
        <v>497337.29296875</v>
      </c>
      <c r="CT37" s="26">
        <f>SUMPRODUCT((Assumptions!$C$4:$C$9&lt;=CT2)*'Acq &amp; Financing'!$E$4:$E$9*Assumptions!$E$4:$E$9)/12</f>
        <v>497337.29296875</v>
      </c>
      <c r="CU37" s="26">
        <f>SUMPRODUCT((Assumptions!$C$4:$C$9&lt;=CU2)*'Acq &amp; Financing'!$E$4:$E$9*Assumptions!$E$4:$E$9)/12</f>
        <v>497337.29296875</v>
      </c>
      <c r="CV37" s="26">
        <f>SUMPRODUCT((Assumptions!$C$4:$C$9&lt;=CV2)*'Acq &amp; Financing'!$E$4:$E$9*Assumptions!$E$4:$E$9)/12</f>
        <v>497337.29296875</v>
      </c>
      <c r="CW37" s="26">
        <f>SUMPRODUCT((Assumptions!$C$4:$C$9&lt;=CW2)*'Acq &amp; Financing'!$E$4:$E$9*Assumptions!$E$4:$E$9)/12</f>
        <v>497337.29296875</v>
      </c>
      <c r="CX37" s="26">
        <f>SUMPRODUCT((Assumptions!$C$4:$C$9&lt;=CX2)*'Acq &amp; Financing'!$E$4:$E$9*Assumptions!$E$4:$E$9)/12</f>
        <v>497337.29296875</v>
      </c>
      <c r="CY37" s="26">
        <f>SUMPRODUCT((Assumptions!$C$4:$C$9&lt;=CY2)*'Acq &amp; Financing'!$E$4:$E$9*Assumptions!$E$4:$E$9)/12</f>
        <v>497337.29296875</v>
      </c>
      <c r="CZ37" s="26">
        <f>SUMPRODUCT((Assumptions!$C$4:$C$9&lt;=CZ2)*'Acq &amp; Financing'!$E$4:$E$9*Assumptions!$E$4:$E$9)/12</f>
        <v>497337.29296875</v>
      </c>
      <c r="DA37" s="26">
        <f>SUMPRODUCT((Assumptions!$C$4:$C$9&lt;=DA2)*'Acq &amp; Financing'!$E$4:$E$9*Assumptions!$E$4:$E$9)/12</f>
        <v>497337.29296875</v>
      </c>
      <c r="DB37" s="26">
        <f>SUMPRODUCT((Assumptions!$C$4:$C$9&lt;=DB2)*'Acq &amp; Financing'!$E$4:$E$9*Assumptions!$E$4:$E$9)/12</f>
        <v>497337.29296875</v>
      </c>
      <c r="DC37" s="26">
        <f>SUMPRODUCT((Assumptions!$C$4:$C$9&lt;=DC2)*'Acq &amp; Financing'!$E$4:$E$9*Assumptions!$E$4:$E$9)/12</f>
        <v>497337.29296875</v>
      </c>
      <c r="DD37" s="26">
        <f>SUMPRODUCT((Assumptions!$C$4:$C$9&lt;=DD2)*'Acq &amp; Financing'!$E$4:$E$9*Assumptions!$E$4:$E$9)/12</f>
        <v>497337.29296875</v>
      </c>
      <c r="DE37" s="26">
        <f>SUMPRODUCT((Assumptions!$C$4:$C$9&lt;=DE2)*'Acq &amp; Financing'!$E$4:$E$9*Assumptions!$E$4:$E$9)/12</f>
        <v>497337.29296875</v>
      </c>
      <c r="DF37" s="26">
        <f>SUMPRODUCT((Assumptions!$C$4:$C$9&lt;=DF2)*'Acq &amp; Financing'!$E$4:$E$9*Assumptions!$E$4:$E$9)/12</f>
        <v>497337.29296875</v>
      </c>
      <c r="DG37" s="26">
        <f>SUMPRODUCT((Assumptions!$C$4:$C$9&lt;=DG2)*'Acq &amp; Financing'!$E$4:$E$9*Assumptions!$E$4:$E$9)/12</f>
        <v>497337.29296875</v>
      </c>
      <c r="DH37" s="26">
        <f>SUMPRODUCT((Assumptions!$C$4:$C$9&lt;=DH2)*'Acq &amp; Financing'!$E$4:$E$9*Assumptions!$E$4:$E$9)/12</f>
        <v>497337.29296875</v>
      </c>
      <c r="DI37" s="26">
        <f>SUMPRODUCT((Assumptions!$C$4:$C$9&lt;=DI2)*'Acq &amp; Financing'!$E$4:$E$9*Assumptions!$E$4:$E$9)/12</f>
        <v>497337.29296875</v>
      </c>
      <c r="DJ37" s="26">
        <f>SUMPRODUCT((Assumptions!$C$4:$C$9&lt;=DJ2)*'Acq &amp; Financing'!$E$4:$E$9*Assumptions!$E$4:$E$9)/12</f>
        <v>497337.29296875</v>
      </c>
      <c r="DK37" s="26">
        <f>SUMPRODUCT((Assumptions!$C$4:$C$9&lt;=DK2)*'Acq &amp; Financing'!$E$4:$E$9*Assumptions!$E$4:$E$9)/12</f>
        <v>497337.29296875</v>
      </c>
      <c r="DL37" s="26">
        <f>SUMPRODUCT((Assumptions!$C$4:$C$9&lt;=DL2)*'Acq &amp; Financing'!$E$4:$E$9*Assumptions!$E$4:$E$9)/12</f>
        <v>497337.29296875</v>
      </c>
      <c r="DM37" s="26">
        <f>SUMPRODUCT((Assumptions!$C$4:$C$9&lt;=DM2)*'Acq &amp; Financing'!$E$4:$E$9*Assumptions!$E$4:$E$9)/12</f>
        <v>497337.29296875</v>
      </c>
      <c r="DN37" s="26">
        <f>SUMPRODUCT((Assumptions!$C$4:$C$9&lt;=DN2)*'Acq &amp; Financing'!$E$4:$E$9*Assumptions!$E$4:$E$9)/12</f>
        <v>497337.29296875</v>
      </c>
      <c r="DO37" s="26">
        <f>SUMPRODUCT((Assumptions!$C$4:$C$9&lt;=DO2)*'Acq &amp; Financing'!$E$4:$E$9*Assumptions!$E$4:$E$9)/12</f>
        <v>497337.29296875</v>
      </c>
      <c r="DP37" s="26">
        <f>SUMPRODUCT((Assumptions!$C$4:$C$9&lt;=DP2)*'Acq &amp; Financing'!$E$4:$E$9*Assumptions!$E$4:$E$9)/12</f>
        <v>497337.29296875</v>
      </c>
      <c r="DQ37" s="26">
        <f>SUMPRODUCT((Assumptions!$C$4:$C$9&lt;=DQ2)*'Acq &amp; Financing'!$E$4:$E$9*Assumptions!$E$4:$E$9)/12</f>
        <v>497337.29296875</v>
      </c>
      <c r="DR37" s="26">
        <f>SUMPRODUCT((Assumptions!$C$4:$C$9&lt;=DR2)*'Acq &amp; Financing'!$E$4:$E$9*Assumptions!$E$4:$E$9)/12</f>
        <v>497337.29296875</v>
      </c>
    </row>
    <row r="38" spans="1:122" x14ac:dyDescent="0.2">
      <c r="A38" s="19" t="s">
        <v>108</v>
      </c>
      <c r="C38" s="32">
        <f t="shared" ref="C38:AH38" si="24">C36-C37</f>
        <v>-155109.03385416669</v>
      </c>
      <c r="D38" s="32">
        <f t="shared" si="24"/>
        <v>-150326.29752604169</v>
      </c>
      <c r="E38" s="32">
        <f t="shared" si="24"/>
        <v>-145543.56119791669</v>
      </c>
      <c r="F38" s="32">
        <f t="shared" si="24"/>
        <v>-140760.82486979169</v>
      </c>
      <c r="G38" s="32">
        <f t="shared" si="24"/>
        <v>-135978.08854166669</v>
      </c>
      <c r="H38" s="32">
        <f t="shared" si="24"/>
        <v>-131195.35221354169</v>
      </c>
      <c r="I38" s="32">
        <f t="shared" si="24"/>
        <v>-126412.61588541669</v>
      </c>
      <c r="J38" s="32">
        <f t="shared" si="24"/>
        <v>-121629.87955729169</v>
      </c>
      <c r="K38" s="32">
        <f t="shared" si="24"/>
        <v>-116847.1432291667</v>
      </c>
      <c r="L38" s="32">
        <f t="shared" si="24"/>
        <v>-112064.40690104169</v>
      </c>
      <c r="M38" s="32">
        <f t="shared" si="24"/>
        <v>-107281.67057291669</v>
      </c>
      <c r="N38" s="32">
        <f t="shared" si="24"/>
        <v>-102498.93424479169</v>
      </c>
      <c r="O38" s="32">
        <f t="shared" si="24"/>
        <v>-96390.969811197923</v>
      </c>
      <c r="P38" s="32">
        <f t="shared" si="24"/>
        <v>-91501.118580729177</v>
      </c>
      <c r="Q38" s="32">
        <f t="shared" si="24"/>
        <v>-86611.26735026043</v>
      </c>
      <c r="R38" s="32">
        <f t="shared" si="24"/>
        <v>-81721.416119791684</v>
      </c>
      <c r="S38" s="32">
        <f t="shared" si="24"/>
        <v>-76831.564889322923</v>
      </c>
      <c r="T38" s="32">
        <f t="shared" si="24"/>
        <v>-71941.713658854162</v>
      </c>
      <c r="U38" s="32">
        <f t="shared" si="24"/>
        <v>-67051.862428385444</v>
      </c>
      <c r="V38" s="32">
        <f t="shared" si="24"/>
        <v>-62162.011197916669</v>
      </c>
      <c r="W38" s="32">
        <f t="shared" si="24"/>
        <v>-57272.159967447922</v>
      </c>
      <c r="X38" s="32">
        <f t="shared" si="24"/>
        <v>-52382.308736979168</v>
      </c>
      <c r="Y38" s="32">
        <f t="shared" si="24"/>
        <v>-47492.457506510429</v>
      </c>
      <c r="Z38" s="32">
        <f t="shared" si="24"/>
        <v>-42602.606276041683</v>
      </c>
      <c r="AA38" s="32">
        <f t="shared" si="24"/>
        <v>-168256.08430846359</v>
      </c>
      <c r="AB38" s="32">
        <f t="shared" si="24"/>
        <v>-158149.63139869794</v>
      </c>
      <c r="AC38" s="32">
        <f t="shared" si="24"/>
        <v>-148043.17848893235</v>
      </c>
      <c r="AD38" s="32">
        <f t="shared" si="24"/>
        <v>-137936.7255791667</v>
      </c>
      <c r="AE38" s="32">
        <f t="shared" si="24"/>
        <v>-127830.27266940106</v>
      </c>
      <c r="AF38" s="32">
        <f t="shared" si="24"/>
        <v>-117723.81975963549</v>
      </c>
      <c r="AG38" s="32">
        <f t="shared" si="24"/>
        <v>-107617.36684986984</v>
      </c>
      <c r="AH38" s="32">
        <f t="shared" si="24"/>
        <v>-97510.913940104219</v>
      </c>
      <c r="AI38" s="32">
        <f t="shared" ref="AI38:BN38" si="25">AI36-AI37</f>
        <v>-87404.461030338571</v>
      </c>
      <c r="AJ38" s="32">
        <f t="shared" si="25"/>
        <v>-77298.008120572937</v>
      </c>
      <c r="AK38" s="32">
        <f t="shared" si="25"/>
        <v>-67191.555210807288</v>
      </c>
      <c r="AL38" s="32">
        <f t="shared" si="25"/>
        <v>-57085.102301041698</v>
      </c>
      <c r="AM38" s="32">
        <f t="shared" si="25"/>
        <v>-152308.60425450071</v>
      </c>
      <c r="AN38" s="32">
        <f t="shared" si="25"/>
        <v>-142712.9984670534</v>
      </c>
      <c r="AO38" s="32">
        <f t="shared" si="25"/>
        <v>-133117.39267960616</v>
      </c>
      <c r="AP38" s="32">
        <f t="shared" si="25"/>
        <v>-123521.7868921589</v>
      </c>
      <c r="AQ38" s="32">
        <f t="shared" si="25"/>
        <v>-113926.18110471165</v>
      </c>
      <c r="AR38" s="32">
        <f t="shared" si="25"/>
        <v>-104330.5753172644</v>
      </c>
      <c r="AS38" s="32">
        <f t="shared" si="25"/>
        <v>-94734.969529817099</v>
      </c>
      <c r="AT38" s="32">
        <f t="shared" si="25"/>
        <v>-85139.363742369896</v>
      </c>
      <c r="AU38" s="32">
        <f t="shared" si="25"/>
        <v>-75543.757954922592</v>
      </c>
      <c r="AV38" s="32">
        <f t="shared" si="25"/>
        <v>-65948.152167475288</v>
      </c>
      <c r="AW38" s="32">
        <f t="shared" si="25"/>
        <v>-56352.546380028129</v>
      </c>
      <c r="AX38" s="32">
        <f t="shared" si="25"/>
        <v>-46756.940592580766</v>
      </c>
      <c r="AY38" s="32">
        <f t="shared" si="25"/>
        <v>-205712.12879888454</v>
      </c>
      <c r="AZ38" s="32">
        <f t="shared" si="25"/>
        <v>-188350.70365381721</v>
      </c>
      <c r="BA38" s="32">
        <f t="shared" si="25"/>
        <v>-170989.27850874982</v>
      </c>
      <c r="BB38" s="32">
        <f t="shared" si="25"/>
        <v>-153627.85336368249</v>
      </c>
      <c r="BC38" s="32">
        <f t="shared" si="25"/>
        <v>-136266.42821861504</v>
      </c>
      <c r="BD38" s="32">
        <f t="shared" si="25"/>
        <v>-118905.00307354765</v>
      </c>
      <c r="BE38" s="32">
        <f t="shared" si="25"/>
        <v>-101543.57792848037</v>
      </c>
      <c r="BF38" s="32">
        <f t="shared" si="25"/>
        <v>-84182.152783413039</v>
      </c>
      <c r="BG38" s="32">
        <f t="shared" si="25"/>
        <v>-66820.72763834559</v>
      </c>
      <c r="BH38" s="32">
        <f t="shared" si="25"/>
        <v>-49459.302493278286</v>
      </c>
      <c r="BI38" s="32">
        <f t="shared" si="25"/>
        <v>-32097.877348210954</v>
      </c>
      <c r="BJ38" s="32">
        <f t="shared" si="25"/>
        <v>-14736.452203143504</v>
      </c>
      <c r="BK38" s="32">
        <f t="shared" si="25"/>
        <v>-158696.95181155921</v>
      </c>
      <c r="BL38" s="32">
        <f t="shared" si="25"/>
        <v>-138623.20324862865</v>
      </c>
      <c r="BM38" s="32">
        <f t="shared" si="25"/>
        <v>-118549.45468569797</v>
      </c>
      <c r="BN38" s="32">
        <f t="shared" si="25"/>
        <v>-98475.706122767355</v>
      </c>
      <c r="BO38" s="32">
        <f t="shared" ref="BO38:CT38" si="26">BO36-BO37</f>
        <v>-78401.957559836796</v>
      </c>
      <c r="BP38" s="32">
        <f t="shared" si="26"/>
        <v>-58328.20899690612</v>
      </c>
      <c r="BQ38" s="32">
        <f t="shared" si="26"/>
        <v>-38254.460433975561</v>
      </c>
      <c r="BR38" s="32">
        <f t="shared" si="26"/>
        <v>-18180.71187104506</v>
      </c>
      <c r="BS38" s="32">
        <f t="shared" si="26"/>
        <v>1893.036691885558</v>
      </c>
      <c r="BT38" s="32">
        <f t="shared" si="26"/>
        <v>21966.785254816234</v>
      </c>
      <c r="BU38" s="32">
        <f t="shared" si="26"/>
        <v>42040.533817746793</v>
      </c>
      <c r="BV38" s="32">
        <f t="shared" si="26"/>
        <v>62114.282380677527</v>
      </c>
      <c r="BW38" s="32">
        <f t="shared" si="26"/>
        <v>-72751.048000956071</v>
      </c>
      <c r="BX38" s="32">
        <f t="shared" si="26"/>
        <v>-49056.849588665413</v>
      </c>
      <c r="BY38" s="32">
        <f t="shared" si="26"/>
        <v>-25362.651176374871</v>
      </c>
      <c r="BZ38" s="32">
        <f t="shared" si="26"/>
        <v>-1668.4527640842134</v>
      </c>
      <c r="CA38" s="32">
        <f t="shared" si="26"/>
        <v>22025.745648206561</v>
      </c>
      <c r="CB38" s="32">
        <f t="shared" si="26"/>
        <v>45719.944060496986</v>
      </c>
      <c r="CC38" s="32">
        <f t="shared" si="26"/>
        <v>69414.14247278776</v>
      </c>
      <c r="CD38" s="32">
        <f t="shared" si="26"/>
        <v>93108.340885078302</v>
      </c>
      <c r="CE38" s="32">
        <f t="shared" si="26"/>
        <v>116802.53929736896</v>
      </c>
      <c r="CF38" s="32">
        <f t="shared" si="26"/>
        <v>140496.73770965962</v>
      </c>
      <c r="CG38" s="32">
        <f t="shared" si="26"/>
        <v>164190.93612195004</v>
      </c>
      <c r="CH38" s="32">
        <f t="shared" si="26"/>
        <v>187885.13453424082</v>
      </c>
      <c r="CI38" s="32">
        <f t="shared" si="26"/>
        <v>234786.26853595895</v>
      </c>
      <c r="CJ38" s="32">
        <f t="shared" si="26"/>
        <v>250947.83165406506</v>
      </c>
      <c r="CK38" s="32">
        <f t="shared" si="26"/>
        <v>267109.39477217128</v>
      </c>
      <c r="CL38" s="32">
        <f t="shared" si="26"/>
        <v>283270.95789027761</v>
      </c>
      <c r="CM38" s="32">
        <f t="shared" si="26"/>
        <v>299432.52100838383</v>
      </c>
      <c r="CN38" s="32">
        <f t="shared" si="26"/>
        <v>315594.08412648994</v>
      </c>
      <c r="CO38" s="32">
        <f t="shared" si="26"/>
        <v>331755.64724459616</v>
      </c>
      <c r="CP38" s="32">
        <f t="shared" si="26"/>
        <v>347917.21036270249</v>
      </c>
      <c r="CQ38" s="32">
        <f t="shared" si="26"/>
        <v>364078.7734808086</v>
      </c>
      <c r="CR38" s="32">
        <f t="shared" si="26"/>
        <v>380240.3365989147</v>
      </c>
      <c r="CS38" s="32">
        <f t="shared" si="26"/>
        <v>396401.89971702104</v>
      </c>
      <c r="CT38" s="32">
        <f t="shared" si="26"/>
        <v>412563.46283512725</v>
      </c>
      <c r="CU38" s="32">
        <f t="shared" ref="CU38:DZ38" si="27">CU36-CU37</f>
        <v>457104.10770284652</v>
      </c>
      <c r="CV38" s="32">
        <f t="shared" si="27"/>
        <v>465373.08614617097</v>
      </c>
      <c r="CW38" s="32">
        <f t="shared" si="27"/>
        <v>473642.06458949565</v>
      </c>
      <c r="CX38" s="32">
        <f t="shared" si="27"/>
        <v>481911.04303282069</v>
      </c>
      <c r="CY38" s="32">
        <f t="shared" si="27"/>
        <v>490180.02147614525</v>
      </c>
      <c r="CZ38" s="32">
        <f t="shared" si="27"/>
        <v>498448.99991947005</v>
      </c>
      <c r="DA38" s="32">
        <f t="shared" si="27"/>
        <v>506717.97836279462</v>
      </c>
      <c r="DB38" s="32">
        <f t="shared" si="27"/>
        <v>514986.95680611918</v>
      </c>
      <c r="DC38" s="32">
        <f t="shared" si="27"/>
        <v>523255.93524944398</v>
      </c>
      <c r="DD38" s="32">
        <f t="shared" si="27"/>
        <v>531524.91369276878</v>
      </c>
      <c r="DE38" s="32">
        <f t="shared" si="27"/>
        <v>539793.89213609323</v>
      </c>
      <c r="DF38" s="32">
        <f t="shared" si="27"/>
        <v>548062.87057941803</v>
      </c>
      <c r="DG38" s="32">
        <f t="shared" si="27"/>
        <v>587845.52917364961</v>
      </c>
      <c r="DH38" s="32">
        <f t="shared" si="27"/>
        <v>587845.52917364961</v>
      </c>
      <c r="DI38" s="32">
        <f t="shared" si="27"/>
        <v>587845.52917364961</v>
      </c>
      <c r="DJ38" s="32">
        <f t="shared" si="27"/>
        <v>587845.52917364961</v>
      </c>
      <c r="DK38" s="32">
        <f t="shared" si="27"/>
        <v>587845.52917364961</v>
      </c>
      <c r="DL38" s="32">
        <f t="shared" si="27"/>
        <v>587845.52917364961</v>
      </c>
      <c r="DM38" s="32">
        <f t="shared" si="27"/>
        <v>587845.52917364961</v>
      </c>
      <c r="DN38" s="32">
        <f t="shared" si="27"/>
        <v>587845.52917364961</v>
      </c>
      <c r="DO38" s="32">
        <f t="shared" si="27"/>
        <v>587845.52917364961</v>
      </c>
      <c r="DP38" s="32">
        <f t="shared" si="27"/>
        <v>587845.52917364961</v>
      </c>
      <c r="DQ38" s="32">
        <f t="shared" si="27"/>
        <v>587845.52917364961</v>
      </c>
      <c r="DR38" s="32">
        <f t="shared" si="27"/>
        <v>587845.52917364961</v>
      </c>
    </row>
    <row r="39" spans="1:122" x14ac:dyDescent="0.2">
      <c r="A39" s="31" t="s">
        <v>109</v>
      </c>
    </row>
    <row r="40" spans="1:122" x14ac:dyDescent="0.2">
      <c r="A40" s="9" t="s">
        <v>110</v>
      </c>
      <c r="C40" s="26">
        <f>-SUMPRODUCT((Assumptions!$C$4:$C$9=C2)*'Acq &amp; Financing'!$F$4:$F$9)</f>
        <v>-7363321.875</v>
      </c>
      <c r="D40" s="26">
        <f>-SUMPRODUCT((Assumptions!$C$4:$C$9=D2)*'Acq &amp; Financing'!$F$4:$F$9)</f>
        <v>0</v>
      </c>
      <c r="E40" s="26">
        <f>-SUMPRODUCT((Assumptions!$C$4:$C$9=E2)*'Acq &amp; Financing'!$F$4:$F$9)</f>
        <v>0</v>
      </c>
      <c r="F40" s="26">
        <f>-SUMPRODUCT((Assumptions!$C$4:$C$9=F2)*'Acq &amp; Financing'!$F$4:$F$9)</f>
        <v>0</v>
      </c>
      <c r="G40" s="26">
        <f>-SUMPRODUCT((Assumptions!$C$4:$C$9=G2)*'Acq &amp; Financing'!$F$4:$F$9)</f>
        <v>0</v>
      </c>
      <c r="H40" s="26">
        <f>-SUMPRODUCT((Assumptions!$C$4:$C$9=H2)*'Acq &amp; Financing'!$F$4:$F$9)</f>
        <v>0</v>
      </c>
      <c r="I40" s="26">
        <f>-SUMPRODUCT((Assumptions!$C$4:$C$9=I2)*'Acq &amp; Financing'!$F$4:$F$9)</f>
        <v>0</v>
      </c>
      <c r="J40" s="26">
        <f>-SUMPRODUCT((Assumptions!$C$4:$C$9=J2)*'Acq &amp; Financing'!$F$4:$F$9)</f>
        <v>0</v>
      </c>
      <c r="K40" s="26">
        <f>-SUMPRODUCT((Assumptions!$C$4:$C$9=K2)*'Acq &amp; Financing'!$F$4:$F$9)</f>
        <v>0</v>
      </c>
      <c r="L40" s="26">
        <f>-SUMPRODUCT((Assumptions!$C$4:$C$9=L2)*'Acq &amp; Financing'!$F$4:$F$9)</f>
        <v>0</v>
      </c>
      <c r="M40" s="26">
        <f>-SUMPRODUCT((Assumptions!$C$4:$C$9=M2)*'Acq &amp; Financing'!$F$4:$F$9)</f>
        <v>0</v>
      </c>
      <c r="N40" s="26">
        <f>-SUMPRODUCT((Assumptions!$C$4:$C$9=N2)*'Acq &amp; Financing'!$F$4:$F$9)</f>
        <v>0</v>
      </c>
      <c r="O40" s="26">
        <f>-SUMPRODUCT((Assumptions!$C$4:$C$9=O2)*'Acq &amp; Financing'!$F$4:$F$9)</f>
        <v>0</v>
      </c>
      <c r="P40" s="26">
        <f>-SUMPRODUCT((Assumptions!$C$4:$C$9=P2)*'Acq &amp; Financing'!$F$4:$F$9)</f>
        <v>0</v>
      </c>
      <c r="Q40" s="26">
        <f>-SUMPRODUCT((Assumptions!$C$4:$C$9=Q2)*'Acq &amp; Financing'!$F$4:$F$9)</f>
        <v>0</v>
      </c>
      <c r="R40" s="26">
        <f>-SUMPRODUCT((Assumptions!$C$4:$C$9=R2)*'Acq &amp; Financing'!$F$4:$F$9)</f>
        <v>0</v>
      </c>
      <c r="S40" s="26">
        <f>-SUMPRODUCT((Assumptions!$C$4:$C$9=S2)*'Acq &amp; Financing'!$F$4:$F$9)</f>
        <v>0</v>
      </c>
      <c r="T40" s="26">
        <f>-SUMPRODUCT((Assumptions!$C$4:$C$9=T2)*'Acq &amp; Financing'!$F$4:$F$9)</f>
        <v>0</v>
      </c>
      <c r="U40" s="26">
        <f>-SUMPRODUCT((Assumptions!$C$4:$C$9=U2)*'Acq &amp; Financing'!$F$4:$F$9)</f>
        <v>0</v>
      </c>
      <c r="V40" s="26">
        <f>-SUMPRODUCT((Assumptions!$C$4:$C$9=V2)*'Acq &amp; Financing'!$F$4:$F$9)</f>
        <v>0</v>
      </c>
      <c r="W40" s="26">
        <f>-SUMPRODUCT((Assumptions!$C$4:$C$9=W2)*'Acq &amp; Financing'!$F$4:$F$9)</f>
        <v>0</v>
      </c>
      <c r="X40" s="26">
        <f>-SUMPRODUCT((Assumptions!$C$4:$C$9=X2)*'Acq &amp; Financing'!$F$4:$F$9)</f>
        <v>0</v>
      </c>
      <c r="Y40" s="26">
        <f>-SUMPRODUCT((Assumptions!$C$4:$C$9=Y2)*'Acq &amp; Financing'!$F$4:$F$9)</f>
        <v>0</v>
      </c>
      <c r="Z40" s="26">
        <f>-SUMPRODUCT((Assumptions!$C$4:$C$9=Z2)*'Acq &amp; Financing'!$F$4:$F$9)</f>
        <v>0</v>
      </c>
      <c r="AA40" s="26">
        <f>-SUMPRODUCT((Assumptions!$C$4:$C$9=AA2)*'Acq &amp; Financing'!$F$4:$F$9)</f>
        <v>-7363321.875</v>
      </c>
      <c r="AB40" s="26">
        <f>-SUMPRODUCT((Assumptions!$C$4:$C$9=AB2)*'Acq &amp; Financing'!$F$4:$F$9)</f>
        <v>0</v>
      </c>
      <c r="AC40" s="26">
        <f>-SUMPRODUCT((Assumptions!$C$4:$C$9=AC2)*'Acq &amp; Financing'!$F$4:$F$9)</f>
        <v>0</v>
      </c>
      <c r="AD40" s="26">
        <f>-SUMPRODUCT((Assumptions!$C$4:$C$9=AD2)*'Acq &amp; Financing'!$F$4:$F$9)</f>
        <v>0</v>
      </c>
      <c r="AE40" s="26">
        <f>-SUMPRODUCT((Assumptions!$C$4:$C$9=AE2)*'Acq &amp; Financing'!$F$4:$F$9)</f>
        <v>0</v>
      </c>
      <c r="AF40" s="26">
        <f>-SUMPRODUCT((Assumptions!$C$4:$C$9=AF2)*'Acq &amp; Financing'!$F$4:$F$9)</f>
        <v>0</v>
      </c>
      <c r="AG40" s="26">
        <f>-SUMPRODUCT((Assumptions!$C$4:$C$9=AG2)*'Acq &amp; Financing'!$F$4:$F$9)</f>
        <v>0</v>
      </c>
      <c r="AH40" s="26">
        <f>-SUMPRODUCT((Assumptions!$C$4:$C$9=AH2)*'Acq &amp; Financing'!$F$4:$F$9)</f>
        <v>0</v>
      </c>
      <c r="AI40" s="26">
        <f>-SUMPRODUCT((Assumptions!$C$4:$C$9=AI2)*'Acq &amp; Financing'!$F$4:$F$9)</f>
        <v>0</v>
      </c>
      <c r="AJ40" s="26">
        <f>-SUMPRODUCT((Assumptions!$C$4:$C$9=AJ2)*'Acq &amp; Financing'!$F$4:$F$9)</f>
        <v>0</v>
      </c>
      <c r="AK40" s="26">
        <f>-SUMPRODUCT((Assumptions!$C$4:$C$9=AK2)*'Acq &amp; Financing'!$F$4:$F$9)</f>
        <v>0</v>
      </c>
      <c r="AL40" s="26">
        <f>-SUMPRODUCT((Assumptions!$C$4:$C$9=AL2)*'Acq &amp; Financing'!$F$4:$F$9)</f>
        <v>0</v>
      </c>
      <c r="AM40" s="26">
        <f>-SUMPRODUCT((Assumptions!$C$4:$C$9=AM2)*'Acq &amp; Financing'!$F$4:$F$9)</f>
        <v>-6311418.75</v>
      </c>
      <c r="AN40" s="26">
        <f>-SUMPRODUCT((Assumptions!$C$4:$C$9=AN2)*'Acq &amp; Financing'!$F$4:$F$9)</f>
        <v>0</v>
      </c>
      <c r="AO40" s="26">
        <f>-SUMPRODUCT((Assumptions!$C$4:$C$9=AO2)*'Acq &amp; Financing'!$F$4:$F$9)</f>
        <v>0</v>
      </c>
      <c r="AP40" s="26">
        <f>-SUMPRODUCT((Assumptions!$C$4:$C$9=AP2)*'Acq &amp; Financing'!$F$4:$F$9)</f>
        <v>0</v>
      </c>
      <c r="AQ40" s="26">
        <f>-SUMPRODUCT((Assumptions!$C$4:$C$9=AQ2)*'Acq &amp; Financing'!$F$4:$F$9)</f>
        <v>0</v>
      </c>
      <c r="AR40" s="26">
        <f>-SUMPRODUCT((Assumptions!$C$4:$C$9=AR2)*'Acq &amp; Financing'!$F$4:$F$9)</f>
        <v>0</v>
      </c>
      <c r="AS40" s="26">
        <f>-SUMPRODUCT((Assumptions!$C$4:$C$9=AS2)*'Acq &amp; Financing'!$F$4:$F$9)</f>
        <v>0</v>
      </c>
      <c r="AT40" s="26">
        <f>-SUMPRODUCT((Assumptions!$C$4:$C$9=AT2)*'Acq &amp; Financing'!$F$4:$F$9)</f>
        <v>0</v>
      </c>
      <c r="AU40" s="26">
        <f>-SUMPRODUCT((Assumptions!$C$4:$C$9=AU2)*'Acq &amp; Financing'!$F$4:$F$9)</f>
        <v>0</v>
      </c>
      <c r="AV40" s="26">
        <f>-SUMPRODUCT((Assumptions!$C$4:$C$9=AV2)*'Acq &amp; Financing'!$F$4:$F$9)</f>
        <v>0</v>
      </c>
      <c r="AW40" s="26">
        <f>-SUMPRODUCT((Assumptions!$C$4:$C$9=AW2)*'Acq &amp; Financing'!$F$4:$F$9)</f>
        <v>0</v>
      </c>
      <c r="AX40" s="26">
        <f>-SUMPRODUCT((Assumptions!$C$4:$C$9=AX2)*'Acq &amp; Financing'!$F$4:$F$9)</f>
        <v>0</v>
      </c>
      <c r="AY40" s="26">
        <f>-SUMPRODUCT((Assumptions!$C$4:$C$9=AY2)*'Acq &amp; Financing'!$F$4:$F$9)</f>
        <v>-10519031.25</v>
      </c>
      <c r="AZ40" s="26">
        <f>-SUMPRODUCT((Assumptions!$C$4:$C$9=AZ2)*'Acq &amp; Financing'!$F$4:$F$9)</f>
        <v>0</v>
      </c>
      <c r="BA40" s="26">
        <f>-SUMPRODUCT((Assumptions!$C$4:$C$9=BA2)*'Acq &amp; Financing'!$F$4:$F$9)</f>
        <v>0</v>
      </c>
      <c r="BB40" s="26">
        <f>-SUMPRODUCT((Assumptions!$C$4:$C$9=BB2)*'Acq &amp; Financing'!$F$4:$F$9)</f>
        <v>0</v>
      </c>
      <c r="BC40" s="26">
        <f>-SUMPRODUCT((Assumptions!$C$4:$C$9=BC2)*'Acq &amp; Financing'!$F$4:$F$9)</f>
        <v>0</v>
      </c>
      <c r="BD40" s="26">
        <f>-SUMPRODUCT((Assumptions!$C$4:$C$9=BD2)*'Acq &amp; Financing'!$F$4:$F$9)</f>
        <v>0</v>
      </c>
      <c r="BE40" s="26">
        <f>-SUMPRODUCT((Assumptions!$C$4:$C$9=BE2)*'Acq &amp; Financing'!$F$4:$F$9)</f>
        <v>0</v>
      </c>
      <c r="BF40" s="26">
        <f>-SUMPRODUCT((Assumptions!$C$4:$C$9=BF2)*'Acq &amp; Financing'!$F$4:$F$9)</f>
        <v>0</v>
      </c>
      <c r="BG40" s="26">
        <f>-SUMPRODUCT((Assumptions!$C$4:$C$9=BG2)*'Acq &amp; Financing'!$F$4:$F$9)</f>
        <v>0</v>
      </c>
      <c r="BH40" s="26">
        <f>-SUMPRODUCT((Assumptions!$C$4:$C$9=BH2)*'Acq &amp; Financing'!$F$4:$F$9)</f>
        <v>0</v>
      </c>
      <c r="BI40" s="26">
        <f>-SUMPRODUCT((Assumptions!$C$4:$C$9=BI2)*'Acq &amp; Financing'!$F$4:$F$9)</f>
        <v>0</v>
      </c>
      <c r="BJ40" s="26">
        <f>-SUMPRODUCT((Assumptions!$C$4:$C$9=BJ2)*'Acq &amp; Financing'!$F$4:$F$9)</f>
        <v>0</v>
      </c>
      <c r="BK40" s="26">
        <f>-SUMPRODUCT((Assumptions!$C$4:$C$9=BK2)*'Acq &amp; Financing'!$F$4:$F$9)</f>
        <v>-10519031.25</v>
      </c>
      <c r="BL40" s="26">
        <f>-SUMPRODUCT((Assumptions!$C$4:$C$9=BL2)*'Acq &amp; Financing'!$F$4:$F$9)</f>
        <v>0</v>
      </c>
      <c r="BM40" s="26">
        <f>-SUMPRODUCT((Assumptions!$C$4:$C$9=BM2)*'Acq &amp; Financing'!$F$4:$F$9)</f>
        <v>0</v>
      </c>
      <c r="BN40" s="26">
        <f>-SUMPRODUCT((Assumptions!$C$4:$C$9=BN2)*'Acq &amp; Financing'!$F$4:$F$9)</f>
        <v>0</v>
      </c>
      <c r="BO40" s="26">
        <f>-SUMPRODUCT((Assumptions!$C$4:$C$9=BO2)*'Acq &amp; Financing'!$F$4:$F$9)</f>
        <v>0</v>
      </c>
      <c r="BP40" s="26">
        <f>-SUMPRODUCT((Assumptions!$C$4:$C$9=BP2)*'Acq &amp; Financing'!$F$4:$F$9)</f>
        <v>0</v>
      </c>
      <c r="BQ40" s="26">
        <f>-SUMPRODUCT((Assumptions!$C$4:$C$9=BQ2)*'Acq &amp; Financing'!$F$4:$F$9)</f>
        <v>0</v>
      </c>
      <c r="BR40" s="26">
        <f>-SUMPRODUCT((Assumptions!$C$4:$C$9=BR2)*'Acq &amp; Financing'!$F$4:$F$9)</f>
        <v>0</v>
      </c>
      <c r="BS40" s="26">
        <f>-SUMPRODUCT((Assumptions!$C$4:$C$9=BS2)*'Acq &amp; Financing'!$F$4:$F$9)</f>
        <v>0</v>
      </c>
      <c r="BT40" s="26">
        <f>-SUMPRODUCT((Assumptions!$C$4:$C$9=BT2)*'Acq &amp; Financing'!$F$4:$F$9)</f>
        <v>0</v>
      </c>
      <c r="BU40" s="26">
        <f>-SUMPRODUCT((Assumptions!$C$4:$C$9=BU2)*'Acq &amp; Financing'!$F$4:$F$9)</f>
        <v>0</v>
      </c>
      <c r="BV40" s="26">
        <f>-SUMPRODUCT((Assumptions!$C$4:$C$9=BV2)*'Acq &amp; Financing'!$F$4:$F$9)</f>
        <v>0</v>
      </c>
      <c r="BW40" s="26">
        <f>-SUMPRODUCT((Assumptions!$C$4:$C$9=BW2)*'Acq &amp; Financing'!$F$4:$F$9)</f>
        <v>-10519031.25</v>
      </c>
      <c r="BX40" s="26">
        <f>-SUMPRODUCT((Assumptions!$C$4:$C$9=BX2)*'Acq &amp; Financing'!$F$4:$F$9)</f>
        <v>0</v>
      </c>
      <c r="BY40" s="26">
        <f>-SUMPRODUCT((Assumptions!$C$4:$C$9=BY2)*'Acq &amp; Financing'!$F$4:$F$9)</f>
        <v>0</v>
      </c>
      <c r="BZ40" s="26">
        <f>-SUMPRODUCT((Assumptions!$C$4:$C$9=BZ2)*'Acq &amp; Financing'!$F$4:$F$9)</f>
        <v>0</v>
      </c>
      <c r="CA40" s="26">
        <f>-SUMPRODUCT((Assumptions!$C$4:$C$9=CA2)*'Acq &amp; Financing'!$F$4:$F$9)</f>
        <v>0</v>
      </c>
      <c r="CB40" s="26">
        <f>-SUMPRODUCT((Assumptions!$C$4:$C$9=CB2)*'Acq &amp; Financing'!$F$4:$F$9)</f>
        <v>0</v>
      </c>
      <c r="CC40" s="26">
        <f>-SUMPRODUCT((Assumptions!$C$4:$C$9=CC2)*'Acq &amp; Financing'!$F$4:$F$9)</f>
        <v>0</v>
      </c>
      <c r="CD40" s="26">
        <f>-SUMPRODUCT((Assumptions!$C$4:$C$9=CD2)*'Acq &amp; Financing'!$F$4:$F$9)</f>
        <v>0</v>
      </c>
      <c r="CE40" s="26">
        <f>-SUMPRODUCT((Assumptions!$C$4:$C$9=CE2)*'Acq &amp; Financing'!$F$4:$F$9)</f>
        <v>0</v>
      </c>
      <c r="CF40" s="26">
        <f>-SUMPRODUCT((Assumptions!$C$4:$C$9=CF2)*'Acq &amp; Financing'!$F$4:$F$9)</f>
        <v>0</v>
      </c>
      <c r="CG40" s="26">
        <f>-SUMPRODUCT((Assumptions!$C$4:$C$9=CG2)*'Acq &amp; Financing'!$F$4:$F$9)</f>
        <v>0</v>
      </c>
      <c r="CH40" s="26">
        <f>-SUMPRODUCT((Assumptions!$C$4:$C$9=CH2)*'Acq &amp; Financing'!$F$4:$F$9)</f>
        <v>0</v>
      </c>
      <c r="CI40" s="26">
        <f>-SUMPRODUCT((Assumptions!$C$4:$C$9=CI2)*'Acq &amp; Financing'!$F$4:$F$9)</f>
        <v>0</v>
      </c>
      <c r="CJ40" s="26">
        <f>-SUMPRODUCT((Assumptions!$C$4:$C$9=CJ2)*'Acq &amp; Financing'!$F$4:$F$9)</f>
        <v>0</v>
      </c>
      <c r="CK40" s="26">
        <f>-SUMPRODUCT((Assumptions!$C$4:$C$9=CK2)*'Acq &amp; Financing'!$F$4:$F$9)</f>
        <v>0</v>
      </c>
      <c r="CL40" s="26">
        <f>-SUMPRODUCT((Assumptions!$C$4:$C$9=CL2)*'Acq &amp; Financing'!$F$4:$F$9)</f>
        <v>0</v>
      </c>
      <c r="CM40" s="26">
        <f>-SUMPRODUCT((Assumptions!$C$4:$C$9=CM2)*'Acq &amp; Financing'!$F$4:$F$9)</f>
        <v>0</v>
      </c>
      <c r="CN40" s="26">
        <f>-SUMPRODUCT((Assumptions!$C$4:$C$9=CN2)*'Acq &amp; Financing'!$F$4:$F$9)</f>
        <v>0</v>
      </c>
      <c r="CO40" s="26">
        <f>-SUMPRODUCT((Assumptions!$C$4:$C$9=CO2)*'Acq &amp; Financing'!$F$4:$F$9)</f>
        <v>0</v>
      </c>
      <c r="CP40" s="26">
        <f>-SUMPRODUCT((Assumptions!$C$4:$C$9=CP2)*'Acq &amp; Financing'!$F$4:$F$9)</f>
        <v>0</v>
      </c>
      <c r="CQ40" s="26">
        <f>-SUMPRODUCT((Assumptions!$C$4:$C$9=CQ2)*'Acq &amp; Financing'!$F$4:$F$9)</f>
        <v>0</v>
      </c>
      <c r="CR40" s="26">
        <f>-SUMPRODUCT((Assumptions!$C$4:$C$9=CR2)*'Acq &amp; Financing'!$F$4:$F$9)</f>
        <v>0</v>
      </c>
      <c r="CS40" s="26">
        <f>-SUMPRODUCT((Assumptions!$C$4:$C$9=CS2)*'Acq &amp; Financing'!$F$4:$F$9)</f>
        <v>0</v>
      </c>
      <c r="CT40" s="26">
        <f>-SUMPRODUCT((Assumptions!$C$4:$C$9=CT2)*'Acq &amp; Financing'!$F$4:$F$9)</f>
        <v>0</v>
      </c>
      <c r="CU40" s="26">
        <f>-SUMPRODUCT((Assumptions!$C$4:$C$9=CU2)*'Acq &amp; Financing'!$F$4:$F$9)</f>
        <v>0</v>
      </c>
      <c r="CV40" s="26">
        <f>-SUMPRODUCT((Assumptions!$C$4:$C$9=CV2)*'Acq &amp; Financing'!$F$4:$F$9)</f>
        <v>0</v>
      </c>
      <c r="CW40" s="26">
        <f>-SUMPRODUCT((Assumptions!$C$4:$C$9=CW2)*'Acq &amp; Financing'!$F$4:$F$9)</f>
        <v>0</v>
      </c>
      <c r="CX40" s="26">
        <f>-SUMPRODUCT((Assumptions!$C$4:$C$9=CX2)*'Acq &amp; Financing'!$F$4:$F$9)</f>
        <v>0</v>
      </c>
      <c r="CY40" s="26">
        <f>-SUMPRODUCT((Assumptions!$C$4:$C$9=CY2)*'Acq &amp; Financing'!$F$4:$F$9)</f>
        <v>0</v>
      </c>
      <c r="CZ40" s="26">
        <f>-SUMPRODUCT((Assumptions!$C$4:$C$9=CZ2)*'Acq &amp; Financing'!$F$4:$F$9)</f>
        <v>0</v>
      </c>
      <c r="DA40" s="26">
        <f>-SUMPRODUCT((Assumptions!$C$4:$C$9=DA2)*'Acq &amp; Financing'!$F$4:$F$9)</f>
        <v>0</v>
      </c>
      <c r="DB40" s="26">
        <f>-SUMPRODUCT((Assumptions!$C$4:$C$9=DB2)*'Acq &amp; Financing'!$F$4:$F$9)</f>
        <v>0</v>
      </c>
      <c r="DC40" s="26">
        <f>-SUMPRODUCT((Assumptions!$C$4:$C$9=DC2)*'Acq &amp; Financing'!$F$4:$F$9)</f>
        <v>0</v>
      </c>
      <c r="DD40" s="26">
        <f>-SUMPRODUCT((Assumptions!$C$4:$C$9=DD2)*'Acq &amp; Financing'!$F$4:$F$9)</f>
        <v>0</v>
      </c>
      <c r="DE40" s="26">
        <f>-SUMPRODUCT((Assumptions!$C$4:$C$9=DE2)*'Acq &amp; Financing'!$F$4:$F$9)</f>
        <v>0</v>
      </c>
      <c r="DF40" s="26">
        <f>-SUMPRODUCT((Assumptions!$C$4:$C$9=DF2)*'Acq &amp; Financing'!$F$4:$F$9)</f>
        <v>0</v>
      </c>
      <c r="DG40" s="26">
        <f>-SUMPRODUCT((Assumptions!$C$4:$C$9=DG2)*'Acq &amp; Financing'!$F$4:$F$9)</f>
        <v>0</v>
      </c>
      <c r="DH40" s="26">
        <f>-SUMPRODUCT((Assumptions!$C$4:$C$9=DH2)*'Acq &amp; Financing'!$F$4:$F$9)</f>
        <v>0</v>
      </c>
      <c r="DI40" s="26">
        <f>-SUMPRODUCT((Assumptions!$C$4:$C$9=DI2)*'Acq &amp; Financing'!$F$4:$F$9)</f>
        <v>0</v>
      </c>
      <c r="DJ40" s="26">
        <f>-SUMPRODUCT((Assumptions!$C$4:$C$9=DJ2)*'Acq &amp; Financing'!$F$4:$F$9)</f>
        <v>0</v>
      </c>
      <c r="DK40" s="26">
        <f>-SUMPRODUCT((Assumptions!$C$4:$C$9=DK2)*'Acq &amp; Financing'!$F$4:$F$9)</f>
        <v>0</v>
      </c>
      <c r="DL40" s="26">
        <f>-SUMPRODUCT((Assumptions!$C$4:$C$9=DL2)*'Acq &amp; Financing'!$F$4:$F$9)</f>
        <v>0</v>
      </c>
      <c r="DM40" s="26">
        <f>-SUMPRODUCT((Assumptions!$C$4:$C$9=DM2)*'Acq &amp; Financing'!$F$4:$F$9)</f>
        <v>0</v>
      </c>
      <c r="DN40" s="26">
        <f>-SUMPRODUCT((Assumptions!$C$4:$C$9=DN2)*'Acq &amp; Financing'!$F$4:$F$9)</f>
        <v>0</v>
      </c>
      <c r="DO40" s="26">
        <f>-SUMPRODUCT((Assumptions!$C$4:$C$9=DO2)*'Acq &amp; Financing'!$F$4:$F$9)</f>
        <v>0</v>
      </c>
      <c r="DP40" s="26">
        <f>-SUMPRODUCT((Assumptions!$C$4:$C$9=DP2)*'Acq &amp; Financing'!$F$4:$F$9)</f>
        <v>0</v>
      </c>
      <c r="DQ40" s="26">
        <f>-SUMPRODUCT((Assumptions!$C$4:$C$9=DQ2)*'Acq &amp; Financing'!$F$4:$F$9)</f>
        <v>0</v>
      </c>
      <c r="DR40" s="26">
        <f>-SUMPRODUCT((Assumptions!$C$4:$C$9=DR2)*'Acq &amp; Financing'!$F$4:$F$9)</f>
        <v>0</v>
      </c>
    </row>
    <row r="41" spans="1:122" x14ac:dyDescent="0.2">
      <c r="A41" s="9" t="s">
        <v>111</v>
      </c>
      <c r="C41" s="33">
        <f>DATE(2026,7,1)</f>
        <v>46204</v>
      </c>
      <c r="D41" s="33">
        <f t="shared" ref="D41:AI41" si="28">EDATE(C41,1)</f>
        <v>46235</v>
      </c>
      <c r="E41" s="33">
        <f t="shared" si="28"/>
        <v>46266</v>
      </c>
      <c r="F41" s="33">
        <f t="shared" si="28"/>
        <v>46296</v>
      </c>
      <c r="G41" s="33">
        <f t="shared" si="28"/>
        <v>46327</v>
      </c>
      <c r="H41" s="33">
        <f t="shared" si="28"/>
        <v>46357</v>
      </c>
      <c r="I41" s="33">
        <f t="shared" si="28"/>
        <v>46388</v>
      </c>
      <c r="J41" s="33">
        <f t="shared" si="28"/>
        <v>46419</v>
      </c>
      <c r="K41" s="33">
        <f t="shared" si="28"/>
        <v>46447</v>
      </c>
      <c r="L41" s="33">
        <f t="shared" si="28"/>
        <v>46478</v>
      </c>
      <c r="M41" s="33">
        <f t="shared" si="28"/>
        <v>46508</v>
      </c>
      <c r="N41" s="33">
        <f t="shared" si="28"/>
        <v>46539</v>
      </c>
      <c r="O41" s="33">
        <f t="shared" si="28"/>
        <v>46569</v>
      </c>
      <c r="P41" s="33">
        <f t="shared" si="28"/>
        <v>46600</v>
      </c>
      <c r="Q41" s="33">
        <f t="shared" si="28"/>
        <v>46631</v>
      </c>
      <c r="R41" s="33">
        <f t="shared" si="28"/>
        <v>46661</v>
      </c>
      <c r="S41" s="33">
        <f t="shared" si="28"/>
        <v>46692</v>
      </c>
      <c r="T41" s="33">
        <f t="shared" si="28"/>
        <v>46722</v>
      </c>
      <c r="U41" s="33">
        <f t="shared" si="28"/>
        <v>46753</v>
      </c>
      <c r="V41" s="33">
        <f t="shared" si="28"/>
        <v>46784</v>
      </c>
      <c r="W41" s="33">
        <f t="shared" si="28"/>
        <v>46813</v>
      </c>
      <c r="X41" s="33">
        <f t="shared" si="28"/>
        <v>46844</v>
      </c>
      <c r="Y41" s="33">
        <f t="shared" si="28"/>
        <v>46874</v>
      </c>
      <c r="Z41" s="33">
        <f t="shared" si="28"/>
        <v>46905</v>
      </c>
      <c r="AA41" s="33">
        <f t="shared" si="28"/>
        <v>46935</v>
      </c>
      <c r="AB41" s="33">
        <f t="shared" si="28"/>
        <v>46966</v>
      </c>
      <c r="AC41" s="33">
        <f t="shared" si="28"/>
        <v>46997</v>
      </c>
      <c r="AD41" s="33">
        <f t="shared" si="28"/>
        <v>47027</v>
      </c>
      <c r="AE41" s="33">
        <f t="shared" si="28"/>
        <v>47058</v>
      </c>
      <c r="AF41" s="33">
        <f t="shared" si="28"/>
        <v>47088</v>
      </c>
      <c r="AG41" s="33">
        <f t="shared" si="28"/>
        <v>47119</v>
      </c>
      <c r="AH41" s="33">
        <f t="shared" si="28"/>
        <v>47150</v>
      </c>
      <c r="AI41" s="33">
        <f t="shared" si="28"/>
        <v>47178</v>
      </c>
      <c r="AJ41" s="33">
        <f t="shared" ref="AJ41:BO41" si="29">EDATE(AI41,1)</f>
        <v>47209</v>
      </c>
      <c r="AK41" s="33">
        <f t="shared" si="29"/>
        <v>47239</v>
      </c>
      <c r="AL41" s="33">
        <f t="shared" si="29"/>
        <v>47270</v>
      </c>
      <c r="AM41" s="33">
        <f t="shared" si="29"/>
        <v>47300</v>
      </c>
      <c r="AN41" s="33">
        <f t="shared" si="29"/>
        <v>47331</v>
      </c>
      <c r="AO41" s="33">
        <f t="shared" si="29"/>
        <v>47362</v>
      </c>
      <c r="AP41" s="33">
        <f t="shared" si="29"/>
        <v>47392</v>
      </c>
      <c r="AQ41" s="33">
        <f t="shared" si="29"/>
        <v>47423</v>
      </c>
      <c r="AR41" s="33">
        <f t="shared" si="29"/>
        <v>47453</v>
      </c>
      <c r="AS41" s="33">
        <f t="shared" si="29"/>
        <v>47484</v>
      </c>
      <c r="AT41" s="33">
        <f t="shared" si="29"/>
        <v>47515</v>
      </c>
      <c r="AU41" s="33">
        <f t="shared" si="29"/>
        <v>47543</v>
      </c>
      <c r="AV41" s="33">
        <f t="shared" si="29"/>
        <v>47574</v>
      </c>
      <c r="AW41" s="33">
        <f t="shared" si="29"/>
        <v>47604</v>
      </c>
      <c r="AX41" s="33">
        <f t="shared" si="29"/>
        <v>47635</v>
      </c>
      <c r="AY41" s="33">
        <f t="shared" si="29"/>
        <v>47665</v>
      </c>
      <c r="AZ41" s="33">
        <f t="shared" si="29"/>
        <v>47696</v>
      </c>
      <c r="BA41" s="33">
        <f t="shared" si="29"/>
        <v>47727</v>
      </c>
      <c r="BB41" s="33">
        <f t="shared" si="29"/>
        <v>47757</v>
      </c>
      <c r="BC41" s="33">
        <f t="shared" si="29"/>
        <v>47788</v>
      </c>
      <c r="BD41" s="33">
        <f t="shared" si="29"/>
        <v>47818</v>
      </c>
      <c r="BE41" s="33">
        <f t="shared" si="29"/>
        <v>47849</v>
      </c>
      <c r="BF41" s="33">
        <f t="shared" si="29"/>
        <v>47880</v>
      </c>
      <c r="BG41" s="33">
        <f t="shared" si="29"/>
        <v>47908</v>
      </c>
      <c r="BH41" s="33">
        <f t="shared" si="29"/>
        <v>47939</v>
      </c>
      <c r="BI41" s="33">
        <f t="shared" si="29"/>
        <v>47969</v>
      </c>
      <c r="BJ41" s="33">
        <f t="shared" si="29"/>
        <v>48000</v>
      </c>
      <c r="BK41" s="33">
        <f t="shared" si="29"/>
        <v>48030</v>
      </c>
      <c r="BL41" s="33">
        <f t="shared" si="29"/>
        <v>48061</v>
      </c>
      <c r="BM41" s="33">
        <f t="shared" si="29"/>
        <v>48092</v>
      </c>
      <c r="BN41" s="33">
        <f t="shared" si="29"/>
        <v>48122</v>
      </c>
      <c r="BO41" s="33">
        <f t="shared" si="29"/>
        <v>48153</v>
      </c>
      <c r="BP41" s="33">
        <f t="shared" ref="BP41:CU41" si="30">EDATE(BO41,1)</f>
        <v>48183</v>
      </c>
      <c r="BQ41" s="33">
        <f t="shared" si="30"/>
        <v>48214</v>
      </c>
      <c r="BR41" s="33">
        <f t="shared" si="30"/>
        <v>48245</v>
      </c>
      <c r="BS41" s="33">
        <f t="shared" si="30"/>
        <v>48274</v>
      </c>
      <c r="BT41" s="33">
        <f t="shared" si="30"/>
        <v>48305</v>
      </c>
      <c r="BU41" s="33">
        <f t="shared" si="30"/>
        <v>48335</v>
      </c>
      <c r="BV41" s="33">
        <f t="shared" si="30"/>
        <v>48366</v>
      </c>
      <c r="BW41" s="33">
        <f t="shared" si="30"/>
        <v>48396</v>
      </c>
      <c r="BX41" s="33">
        <f t="shared" si="30"/>
        <v>48427</v>
      </c>
      <c r="BY41" s="33">
        <f t="shared" si="30"/>
        <v>48458</v>
      </c>
      <c r="BZ41" s="33">
        <f t="shared" si="30"/>
        <v>48488</v>
      </c>
      <c r="CA41" s="33">
        <f t="shared" si="30"/>
        <v>48519</v>
      </c>
      <c r="CB41" s="33">
        <f t="shared" si="30"/>
        <v>48549</v>
      </c>
      <c r="CC41" s="33">
        <f t="shared" si="30"/>
        <v>48580</v>
      </c>
      <c r="CD41" s="33">
        <f t="shared" si="30"/>
        <v>48611</v>
      </c>
      <c r="CE41" s="33">
        <f t="shared" si="30"/>
        <v>48639</v>
      </c>
      <c r="CF41" s="33">
        <f t="shared" si="30"/>
        <v>48670</v>
      </c>
      <c r="CG41" s="33">
        <f t="shared" si="30"/>
        <v>48700</v>
      </c>
      <c r="CH41" s="33">
        <f t="shared" si="30"/>
        <v>48731</v>
      </c>
      <c r="CI41" s="33">
        <f t="shared" si="30"/>
        <v>48761</v>
      </c>
      <c r="CJ41" s="33">
        <f t="shared" si="30"/>
        <v>48792</v>
      </c>
      <c r="CK41" s="33">
        <f t="shared" si="30"/>
        <v>48823</v>
      </c>
      <c r="CL41" s="33">
        <f t="shared" si="30"/>
        <v>48853</v>
      </c>
      <c r="CM41" s="33">
        <f t="shared" si="30"/>
        <v>48884</v>
      </c>
      <c r="CN41" s="33">
        <f t="shared" si="30"/>
        <v>48914</v>
      </c>
      <c r="CO41" s="33">
        <f t="shared" si="30"/>
        <v>48945</v>
      </c>
      <c r="CP41" s="33">
        <f t="shared" si="30"/>
        <v>48976</v>
      </c>
      <c r="CQ41" s="33">
        <f t="shared" si="30"/>
        <v>49004</v>
      </c>
      <c r="CR41" s="33">
        <f t="shared" si="30"/>
        <v>49035</v>
      </c>
      <c r="CS41" s="33">
        <f t="shared" si="30"/>
        <v>49065</v>
      </c>
      <c r="CT41" s="33">
        <f t="shared" si="30"/>
        <v>49096</v>
      </c>
      <c r="CU41" s="33">
        <f t="shared" si="30"/>
        <v>49126</v>
      </c>
      <c r="CV41" s="33">
        <f t="shared" ref="CV41:DR41" si="31">EDATE(CU41,1)</f>
        <v>49157</v>
      </c>
      <c r="CW41" s="33">
        <f t="shared" si="31"/>
        <v>49188</v>
      </c>
      <c r="CX41" s="33">
        <f t="shared" si="31"/>
        <v>49218</v>
      </c>
      <c r="CY41" s="33">
        <f t="shared" si="31"/>
        <v>49249</v>
      </c>
      <c r="CZ41" s="33">
        <f t="shared" si="31"/>
        <v>49279</v>
      </c>
      <c r="DA41" s="33">
        <f t="shared" si="31"/>
        <v>49310</v>
      </c>
      <c r="DB41" s="33">
        <f t="shared" si="31"/>
        <v>49341</v>
      </c>
      <c r="DC41" s="33">
        <f t="shared" si="31"/>
        <v>49369</v>
      </c>
      <c r="DD41" s="33">
        <f t="shared" si="31"/>
        <v>49400</v>
      </c>
      <c r="DE41" s="33">
        <f t="shared" si="31"/>
        <v>49430</v>
      </c>
      <c r="DF41" s="33">
        <f t="shared" si="31"/>
        <v>49461</v>
      </c>
      <c r="DG41" s="33">
        <f t="shared" si="31"/>
        <v>49491</v>
      </c>
      <c r="DH41" s="33">
        <f t="shared" si="31"/>
        <v>49522</v>
      </c>
      <c r="DI41" s="33">
        <f t="shared" si="31"/>
        <v>49553</v>
      </c>
      <c r="DJ41" s="33">
        <f t="shared" si="31"/>
        <v>49583</v>
      </c>
      <c r="DK41" s="33">
        <f t="shared" si="31"/>
        <v>49614</v>
      </c>
      <c r="DL41" s="33">
        <f t="shared" si="31"/>
        <v>49644</v>
      </c>
      <c r="DM41" s="33">
        <f t="shared" si="31"/>
        <v>49675</v>
      </c>
      <c r="DN41" s="33">
        <f t="shared" si="31"/>
        <v>49706</v>
      </c>
      <c r="DO41" s="33">
        <f t="shared" si="31"/>
        <v>49735</v>
      </c>
      <c r="DP41" s="33">
        <f t="shared" si="31"/>
        <v>49766</v>
      </c>
      <c r="DQ41" s="33">
        <f t="shared" si="31"/>
        <v>49796</v>
      </c>
      <c r="DR41" s="33">
        <f t="shared" si="31"/>
        <v>49827</v>
      </c>
    </row>
    <row r="42" spans="1:122" x14ac:dyDescent="0.2">
      <c r="A42" s="9" t="s">
        <v>112</v>
      </c>
      <c r="C42" s="26">
        <f t="shared" ref="C42:AH42" si="32">C38</f>
        <v>-155109.03385416669</v>
      </c>
      <c r="D42" s="26">
        <f t="shared" si="32"/>
        <v>-150326.29752604169</v>
      </c>
      <c r="E42" s="26">
        <f t="shared" si="32"/>
        <v>-145543.56119791669</v>
      </c>
      <c r="F42" s="26">
        <f t="shared" si="32"/>
        <v>-140760.82486979169</v>
      </c>
      <c r="G42" s="26">
        <f t="shared" si="32"/>
        <v>-135978.08854166669</v>
      </c>
      <c r="H42" s="26">
        <f t="shared" si="32"/>
        <v>-131195.35221354169</v>
      </c>
      <c r="I42" s="26">
        <f t="shared" si="32"/>
        <v>-126412.61588541669</v>
      </c>
      <c r="J42" s="26">
        <f t="shared" si="32"/>
        <v>-121629.87955729169</v>
      </c>
      <c r="K42" s="26">
        <f t="shared" si="32"/>
        <v>-116847.1432291667</v>
      </c>
      <c r="L42" s="26">
        <f t="shared" si="32"/>
        <v>-112064.40690104169</v>
      </c>
      <c r="M42" s="26">
        <f t="shared" si="32"/>
        <v>-107281.67057291669</v>
      </c>
      <c r="N42" s="26">
        <f t="shared" si="32"/>
        <v>-102498.93424479169</v>
      </c>
      <c r="O42" s="26">
        <f t="shared" si="32"/>
        <v>-96390.969811197923</v>
      </c>
      <c r="P42" s="26">
        <f t="shared" si="32"/>
        <v>-91501.118580729177</v>
      </c>
      <c r="Q42" s="26">
        <f t="shared" si="32"/>
        <v>-86611.26735026043</v>
      </c>
      <c r="R42" s="26">
        <f t="shared" si="32"/>
        <v>-81721.416119791684</v>
      </c>
      <c r="S42" s="26">
        <f t="shared" si="32"/>
        <v>-76831.564889322923</v>
      </c>
      <c r="T42" s="26">
        <f t="shared" si="32"/>
        <v>-71941.713658854162</v>
      </c>
      <c r="U42" s="26">
        <f t="shared" si="32"/>
        <v>-67051.862428385444</v>
      </c>
      <c r="V42" s="26">
        <f t="shared" si="32"/>
        <v>-62162.011197916669</v>
      </c>
      <c r="W42" s="26">
        <f t="shared" si="32"/>
        <v>-57272.159967447922</v>
      </c>
      <c r="X42" s="26">
        <f t="shared" si="32"/>
        <v>-52382.308736979168</v>
      </c>
      <c r="Y42" s="26">
        <f t="shared" si="32"/>
        <v>-47492.457506510429</v>
      </c>
      <c r="Z42" s="26">
        <f t="shared" si="32"/>
        <v>-42602.606276041683</v>
      </c>
      <c r="AA42" s="26">
        <f t="shared" si="32"/>
        <v>-168256.08430846359</v>
      </c>
      <c r="AB42" s="26">
        <f t="shared" si="32"/>
        <v>-158149.63139869794</v>
      </c>
      <c r="AC42" s="26">
        <f t="shared" si="32"/>
        <v>-148043.17848893235</v>
      </c>
      <c r="AD42" s="26">
        <f t="shared" si="32"/>
        <v>-137936.7255791667</v>
      </c>
      <c r="AE42" s="26">
        <f t="shared" si="32"/>
        <v>-127830.27266940106</v>
      </c>
      <c r="AF42" s="26">
        <f t="shared" si="32"/>
        <v>-117723.81975963549</v>
      </c>
      <c r="AG42" s="26">
        <f t="shared" si="32"/>
        <v>-107617.36684986984</v>
      </c>
      <c r="AH42" s="26">
        <f t="shared" si="32"/>
        <v>-97510.913940104219</v>
      </c>
      <c r="AI42" s="26">
        <f t="shared" ref="AI42:BN42" si="33">AI38</f>
        <v>-87404.461030338571</v>
      </c>
      <c r="AJ42" s="26">
        <f t="shared" si="33"/>
        <v>-77298.008120572937</v>
      </c>
      <c r="AK42" s="26">
        <f t="shared" si="33"/>
        <v>-67191.555210807288</v>
      </c>
      <c r="AL42" s="26">
        <f t="shared" si="33"/>
        <v>-57085.102301041698</v>
      </c>
      <c r="AM42" s="26">
        <f t="shared" si="33"/>
        <v>-152308.60425450071</v>
      </c>
      <c r="AN42" s="26">
        <f t="shared" si="33"/>
        <v>-142712.9984670534</v>
      </c>
      <c r="AO42" s="26">
        <f t="shared" si="33"/>
        <v>-133117.39267960616</v>
      </c>
      <c r="AP42" s="26">
        <f t="shared" si="33"/>
        <v>-123521.7868921589</v>
      </c>
      <c r="AQ42" s="26">
        <f t="shared" si="33"/>
        <v>-113926.18110471165</v>
      </c>
      <c r="AR42" s="26">
        <f t="shared" si="33"/>
        <v>-104330.5753172644</v>
      </c>
      <c r="AS42" s="26">
        <f t="shared" si="33"/>
        <v>-94734.969529817099</v>
      </c>
      <c r="AT42" s="26">
        <f t="shared" si="33"/>
        <v>-85139.363742369896</v>
      </c>
      <c r="AU42" s="26">
        <f t="shared" si="33"/>
        <v>-75543.757954922592</v>
      </c>
      <c r="AV42" s="26">
        <f t="shared" si="33"/>
        <v>-65948.152167475288</v>
      </c>
      <c r="AW42" s="26">
        <f t="shared" si="33"/>
        <v>-56352.546380028129</v>
      </c>
      <c r="AX42" s="26">
        <f t="shared" si="33"/>
        <v>-46756.940592580766</v>
      </c>
      <c r="AY42" s="26">
        <f t="shared" si="33"/>
        <v>-205712.12879888454</v>
      </c>
      <c r="AZ42" s="26">
        <f t="shared" si="33"/>
        <v>-188350.70365381721</v>
      </c>
      <c r="BA42" s="26">
        <f t="shared" si="33"/>
        <v>-170989.27850874982</v>
      </c>
      <c r="BB42" s="26">
        <f t="shared" si="33"/>
        <v>-153627.85336368249</v>
      </c>
      <c r="BC42" s="26">
        <f t="shared" si="33"/>
        <v>-136266.42821861504</v>
      </c>
      <c r="BD42" s="26">
        <f t="shared" si="33"/>
        <v>-118905.00307354765</v>
      </c>
      <c r="BE42" s="26">
        <f t="shared" si="33"/>
        <v>-101543.57792848037</v>
      </c>
      <c r="BF42" s="26">
        <f t="shared" si="33"/>
        <v>-84182.152783413039</v>
      </c>
      <c r="BG42" s="26">
        <f t="shared" si="33"/>
        <v>-66820.72763834559</v>
      </c>
      <c r="BH42" s="26">
        <f t="shared" si="33"/>
        <v>-49459.302493278286</v>
      </c>
      <c r="BI42" s="26">
        <f t="shared" si="33"/>
        <v>-32097.877348210954</v>
      </c>
      <c r="BJ42" s="26">
        <f t="shared" si="33"/>
        <v>-14736.452203143504</v>
      </c>
      <c r="BK42" s="26">
        <f t="shared" si="33"/>
        <v>-158696.95181155921</v>
      </c>
      <c r="BL42" s="26">
        <f t="shared" si="33"/>
        <v>-138623.20324862865</v>
      </c>
      <c r="BM42" s="26">
        <f t="shared" si="33"/>
        <v>-118549.45468569797</v>
      </c>
      <c r="BN42" s="26">
        <f t="shared" si="33"/>
        <v>-98475.706122767355</v>
      </c>
      <c r="BO42" s="26">
        <f t="shared" ref="BO42:CT42" si="34">BO38</f>
        <v>-78401.957559836796</v>
      </c>
      <c r="BP42" s="26">
        <f t="shared" si="34"/>
        <v>-58328.20899690612</v>
      </c>
      <c r="BQ42" s="26">
        <f t="shared" si="34"/>
        <v>-38254.460433975561</v>
      </c>
      <c r="BR42" s="26">
        <f t="shared" si="34"/>
        <v>-18180.71187104506</v>
      </c>
      <c r="BS42" s="26">
        <f t="shared" si="34"/>
        <v>1893.036691885558</v>
      </c>
      <c r="BT42" s="26">
        <f t="shared" si="34"/>
        <v>21966.785254816234</v>
      </c>
      <c r="BU42" s="26">
        <f t="shared" si="34"/>
        <v>42040.533817746793</v>
      </c>
      <c r="BV42" s="26">
        <f t="shared" si="34"/>
        <v>62114.282380677527</v>
      </c>
      <c r="BW42" s="26">
        <f t="shared" si="34"/>
        <v>-72751.048000956071</v>
      </c>
      <c r="BX42" s="26">
        <f t="shared" si="34"/>
        <v>-49056.849588665413</v>
      </c>
      <c r="BY42" s="26">
        <f t="shared" si="34"/>
        <v>-25362.651176374871</v>
      </c>
      <c r="BZ42" s="26">
        <f t="shared" si="34"/>
        <v>-1668.4527640842134</v>
      </c>
      <c r="CA42" s="26">
        <f t="shared" si="34"/>
        <v>22025.745648206561</v>
      </c>
      <c r="CB42" s="26">
        <f t="shared" si="34"/>
        <v>45719.944060496986</v>
      </c>
      <c r="CC42" s="26">
        <f t="shared" si="34"/>
        <v>69414.14247278776</v>
      </c>
      <c r="CD42" s="26">
        <f t="shared" si="34"/>
        <v>93108.340885078302</v>
      </c>
      <c r="CE42" s="26">
        <f t="shared" si="34"/>
        <v>116802.53929736896</v>
      </c>
      <c r="CF42" s="26">
        <f t="shared" si="34"/>
        <v>140496.73770965962</v>
      </c>
      <c r="CG42" s="26">
        <f t="shared" si="34"/>
        <v>164190.93612195004</v>
      </c>
      <c r="CH42" s="26">
        <f t="shared" si="34"/>
        <v>187885.13453424082</v>
      </c>
      <c r="CI42" s="26">
        <f t="shared" si="34"/>
        <v>234786.26853595895</v>
      </c>
      <c r="CJ42" s="26">
        <f t="shared" si="34"/>
        <v>250947.83165406506</v>
      </c>
      <c r="CK42" s="26">
        <f t="shared" si="34"/>
        <v>267109.39477217128</v>
      </c>
      <c r="CL42" s="26">
        <f t="shared" si="34"/>
        <v>283270.95789027761</v>
      </c>
      <c r="CM42" s="26">
        <f t="shared" si="34"/>
        <v>299432.52100838383</v>
      </c>
      <c r="CN42" s="26">
        <f t="shared" si="34"/>
        <v>315594.08412648994</v>
      </c>
      <c r="CO42" s="26">
        <f t="shared" si="34"/>
        <v>331755.64724459616</v>
      </c>
      <c r="CP42" s="26">
        <f t="shared" si="34"/>
        <v>347917.21036270249</v>
      </c>
      <c r="CQ42" s="26">
        <f t="shared" si="34"/>
        <v>364078.7734808086</v>
      </c>
      <c r="CR42" s="26">
        <f t="shared" si="34"/>
        <v>380240.3365989147</v>
      </c>
      <c r="CS42" s="26">
        <f t="shared" si="34"/>
        <v>396401.89971702104</v>
      </c>
      <c r="CT42" s="26">
        <f t="shared" si="34"/>
        <v>412563.46283512725</v>
      </c>
      <c r="CU42" s="26">
        <f t="shared" ref="CU42:DR42" si="35">CU38</f>
        <v>457104.10770284652</v>
      </c>
      <c r="CV42" s="26">
        <f t="shared" si="35"/>
        <v>465373.08614617097</v>
      </c>
      <c r="CW42" s="26">
        <f t="shared" si="35"/>
        <v>473642.06458949565</v>
      </c>
      <c r="CX42" s="26">
        <f t="shared" si="35"/>
        <v>481911.04303282069</v>
      </c>
      <c r="CY42" s="26">
        <f t="shared" si="35"/>
        <v>490180.02147614525</v>
      </c>
      <c r="CZ42" s="26">
        <f t="shared" si="35"/>
        <v>498448.99991947005</v>
      </c>
      <c r="DA42" s="26">
        <f t="shared" si="35"/>
        <v>506717.97836279462</v>
      </c>
      <c r="DB42" s="26">
        <f t="shared" si="35"/>
        <v>514986.95680611918</v>
      </c>
      <c r="DC42" s="26">
        <f t="shared" si="35"/>
        <v>523255.93524944398</v>
      </c>
      <c r="DD42" s="26">
        <f t="shared" si="35"/>
        <v>531524.91369276878</v>
      </c>
      <c r="DE42" s="26">
        <f t="shared" si="35"/>
        <v>539793.89213609323</v>
      </c>
      <c r="DF42" s="26">
        <f t="shared" si="35"/>
        <v>548062.87057941803</v>
      </c>
      <c r="DG42" s="26">
        <f t="shared" si="35"/>
        <v>587845.52917364961</v>
      </c>
      <c r="DH42" s="26">
        <f t="shared" si="35"/>
        <v>587845.52917364961</v>
      </c>
      <c r="DI42" s="26">
        <f t="shared" si="35"/>
        <v>587845.52917364961</v>
      </c>
      <c r="DJ42" s="26">
        <f t="shared" si="35"/>
        <v>587845.52917364961</v>
      </c>
      <c r="DK42" s="26">
        <f t="shared" si="35"/>
        <v>587845.52917364961</v>
      </c>
      <c r="DL42" s="26">
        <f t="shared" si="35"/>
        <v>587845.52917364961</v>
      </c>
      <c r="DM42" s="26">
        <f t="shared" si="35"/>
        <v>587845.52917364961</v>
      </c>
      <c r="DN42" s="26">
        <f t="shared" si="35"/>
        <v>587845.52917364961</v>
      </c>
      <c r="DO42" s="26">
        <f t="shared" si="35"/>
        <v>587845.52917364961</v>
      </c>
      <c r="DP42" s="26">
        <f t="shared" si="35"/>
        <v>587845.52917364961</v>
      </c>
      <c r="DQ42" s="26">
        <f t="shared" si="35"/>
        <v>587845.52917364961</v>
      </c>
      <c r="DR42" s="26">
        <f t="shared" si="35"/>
        <v>587845.52917364961</v>
      </c>
    </row>
    <row r="43" spans="1:122" x14ac:dyDescent="0.2">
      <c r="A43" s="9" t="s">
        <v>113</v>
      </c>
      <c r="C43" s="26">
        <f t="shared" ref="C43:AH43" si="36">IF(C2=120,$B$55,0)</f>
        <v>0</v>
      </c>
      <c r="D43" s="26">
        <f t="shared" si="36"/>
        <v>0</v>
      </c>
      <c r="E43" s="26">
        <f t="shared" si="36"/>
        <v>0</v>
      </c>
      <c r="F43" s="26">
        <f t="shared" si="36"/>
        <v>0</v>
      </c>
      <c r="G43" s="26">
        <f t="shared" si="36"/>
        <v>0</v>
      </c>
      <c r="H43" s="26">
        <f t="shared" si="36"/>
        <v>0</v>
      </c>
      <c r="I43" s="26">
        <f t="shared" si="36"/>
        <v>0</v>
      </c>
      <c r="J43" s="26">
        <f t="shared" si="36"/>
        <v>0</v>
      </c>
      <c r="K43" s="26">
        <f t="shared" si="36"/>
        <v>0</v>
      </c>
      <c r="L43" s="26">
        <f t="shared" si="36"/>
        <v>0</v>
      </c>
      <c r="M43" s="26">
        <f t="shared" si="36"/>
        <v>0</v>
      </c>
      <c r="N43" s="26">
        <f t="shared" si="36"/>
        <v>0</v>
      </c>
      <c r="O43" s="26">
        <f t="shared" si="36"/>
        <v>0</v>
      </c>
      <c r="P43" s="26">
        <f t="shared" si="36"/>
        <v>0</v>
      </c>
      <c r="Q43" s="26">
        <f t="shared" si="36"/>
        <v>0</v>
      </c>
      <c r="R43" s="26">
        <f t="shared" si="36"/>
        <v>0</v>
      </c>
      <c r="S43" s="26">
        <f t="shared" si="36"/>
        <v>0</v>
      </c>
      <c r="T43" s="26">
        <f t="shared" si="36"/>
        <v>0</v>
      </c>
      <c r="U43" s="26">
        <f t="shared" si="36"/>
        <v>0</v>
      </c>
      <c r="V43" s="26">
        <f t="shared" si="36"/>
        <v>0</v>
      </c>
      <c r="W43" s="26">
        <f t="shared" si="36"/>
        <v>0</v>
      </c>
      <c r="X43" s="26">
        <f t="shared" si="36"/>
        <v>0</v>
      </c>
      <c r="Y43" s="26">
        <f t="shared" si="36"/>
        <v>0</v>
      </c>
      <c r="Z43" s="26">
        <f t="shared" si="36"/>
        <v>0</v>
      </c>
      <c r="AA43" s="26">
        <f t="shared" si="36"/>
        <v>0</v>
      </c>
      <c r="AB43" s="26">
        <f t="shared" si="36"/>
        <v>0</v>
      </c>
      <c r="AC43" s="26">
        <f t="shared" si="36"/>
        <v>0</v>
      </c>
      <c r="AD43" s="26">
        <f t="shared" si="36"/>
        <v>0</v>
      </c>
      <c r="AE43" s="26">
        <f t="shared" si="36"/>
        <v>0</v>
      </c>
      <c r="AF43" s="26">
        <f t="shared" si="36"/>
        <v>0</v>
      </c>
      <c r="AG43" s="26">
        <f t="shared" si="36"/>
        <v>0</v>
      </c>
      <c r="AH43" s="26">
        <f t="shared" si="36"/>
        <v>0</v>
      </c>
      <c r="AI43" s="26">
        <f t="shared" ref="AI43:BN43" si="37">IF(AI2=120,$B$55,0)</f>
        <v>0</v>
      </c>
      <c r="AJ43" s="26">
        <f t="shared" si="37"/>
        <v>0</v>
      </c>
      <c r="AK43" s="26">
        <f t="shared" si="37"/>
        <v>0</v>
      </c>
      <c r="AL43" s="26">
        <f t="shared" si="37"/>
        <v>0</v>
      </c>
      <c r="AM43" s="26">
        <f t="shared" si="37"/>
        <v>0</v>
      </c>
      <c r="AN43" s="26">
        <f t="shared" si="37"/>
        <v>0</v>
      </c>
      <c r="AO43" s="26">
        <f t="shared" si="37"/>
        <v>0</v>
      </c>
      <c r="AP43" s="26">
        <f t="shared" si="37"/>
        <v>0</v>
      </c>
      <c r="AQ43" s="26">
        <f t="shared" si="37"/>
        <v>0</v>
      </c>
      <c r="AR43" s="26">
        <f t="shared" si="37"/>
        <v>0</v>
      </c>
      <c r="AS43" s="26">
        <f t="shared" si="37"/>
        <v>0</v>
      </c>
      <c r="AT43" s="26">
        <f t="shared" si="37"/>
        <v>0</v>
      </c>
      <c r="AU43" s="26">
        <f t="shared" si="37"/>
        <v>0</v>
      </c>
      <c r="AV43" s="26">
        <f t="shared" si="37"/>
        <v>0</v>
      </c>
      <c r="AW43" s="26">
        <f t="shared" si="37"/>
        <v>0</v>
      </c>
      <c r="AX43" s="26">
        <f t="shared" si="37"/>
        <v>0</v>
      </c>
      <c r="AY43" s="26">
        <f t="shared" si="37"/>
        <v>0</v>
      </c>
      <c r="AZ43" s="26">
        <f t="shared" si="37"/>
        <v>0</v>
      </c>
      <c r="BA43" s="26">
        <f t="shared" si="37"/>
        <v>0</v>
      </c>
      <c r="BB43" s="26">
        <f t="shared" si="37"/>
        <v>0</v>
      </c>
      <c r="BC43" s="26">
        <f t="shared" si="37"/>
        <v>0</v>
      </c>
      <c r="BD43" s="26">
        <f t="shared" si="37"/>
        <v>0</v>
      </c>
      <c r="BE43" s="26">
        <f t="shared" si="37"/>
        <v>0</v>
      </c>
      <c r="BF43" s="26">
        <f t="shared" si="37"/>
        <v>0</v>
      </c>
      <c r="BG43" s="26">
        <f t="shared" si="37"/>
        <v>0</v>
      </c>
      <c r="BH43" s="26">
        <f t="shared" si="37"/>
        <v>0</v>
      </c>
      <c r="BI43" s="26">
        <f t="shared" si="37"/>
        <v>0</v>
      </c>
      <c r="BJ43" s="26">
        <f t="shared" si="37"/>
        <v>0</v>
      </c>
      <c r="BK43" s="26">
        <f t="shared" si="37"/>
        <v>0</v>
      </c>
      <c r="BL43" s="26">
        <f t="shared" si="37"/>
        <v>0</v>
      </c>
      <c r="BM43" s="26">
        <f t="shared" si="37"/>
        <v>0</v>
      </c>
      <c r="BN43" s="26">
        <f t="shared" si="37"/>
        <v>0</v>
      </c>
      <c r="BO43" s="26">
        <f t="shared" ref="BO43:CT43" si="38">IF(BO2=120,$B$55,0)</f>
        <v>0</v>
      </c>
      <c r="BP43" s="26">
        <f t="shared" si="38"/>
        <v>0</v>
      </c>
      <c r="BQ43" s="26">
        <f t="shared" si="38"/>
        <v>0</v>
      </c>
      <c r="BR43" s="26">
        <f t="shared" si="38"/>
        <v>0</v>
      </c>
      <c r="BS43" s="26">
        <f t="shared" si="38"/>
        <v>0</v>
      </c>
      <c r="BT43" s="26">
        <f t="shared" si="38"/>
        <v>0</v>
      </c>
      <c r="BU43" s="26">
        <f t="shared" si="38"/>
        <v>0</v>
      </c>
      <c r="BV43" s="26">
        <f t="shared" si="38"/>
        <v>0</v>
      </c>
      <c r="BW43" s="26">
        <f t="shared" si="38"/>
        <v>0</v>
      </c>
      <c r="BX43" s="26">
        <f t="shared" si="38"/>
        <v>0</v>
      </c>
      <c r="BY43" s="26">
        <f t="shared" si="38"/>
        <v>0</v>
      </c>
      <c r="BZ43" s="26">
        <f t="shared" si="38"/>
        <v>0</v>
      </c>
      <c r="CA43" s="26">
        <f t="shared" si="38"/>
        <v>0</v>
      </c>
      <c r="CB43" s="26">
        <f t="shared" si="38"/>
        <v>0</v>
      </c>
      <c r="CC43" s="26">
        <f t="shared" si="38"/>
        <v>0</v>
      </c>
      <c r="CD43" s="26">
        <f t="shared" si="38"/>
        <v>0</v>
      </c>
      <c r="CE43" s="26">
        <f t="shared" si="38"/>
        <v>0</v>
      </c>
      <c r="CF43" s="26">
        <f t="shared" si="38"/>
        <v>0</v>
      </c>
      <c r="CG43" s="26">
        <f t="shared" si="38"/>
        <v>0</v>
      </c>
      <c r="CH43" s="26">
        <f t="shared" si="38"/>
        <v>0</v>
      </c>
      <c r="CI43" s="26">
        <f t="shared" si="38"/>
        <v>0</v>
      </c>
      <c r="CJ43" s="26">
        <f t="shared" si="38"/>
        <v>0</v>
      </c>
      <c r="CK43" s="26">
        <f t="shared" si="38"/>
        <v>0</v>
      </c>
      <c r="CL43" s="26">
        <f t="shared" si="38"/>
        <v>0</v>
      </c>
      <c r="CM43" s="26">
        <f t="shared" si="38"/>
        <v>0</v>
      </c>
      <c r="CN43" s="26">
        <f t="shared" si="38"/>
        <v>0</v>
      </c>
      <c r="CO43" s="26">
        <f t="shared" si="38"/>
        <v>0</v>
      </c>
      <c r="CP43" s="26">
        <f t="shared" si="38"/>
        <v>0</v>
      </c>
      <c r="CQ43" s="26">
        <f t="shared" si="38"/>
        <v>0</v>
      </c>
      <c r="CR43" s="26">
        <f t="shared" si="38"/>
        <v>0</v>
      </c>
      <c r="CS43" s="26">
        <f t="shared" si="38"/>
        <v>0</v>
      </c>
      <c r="CT43" s="26">
        <f t="shared" si="38"/>
        <v>0</v>
      </c>
      <c r="CU43" s="26">
        <f t="shared" ref="CU43:DR43" si="39">IF(CU2=120,$B$55,0)</f>
        <v>0</v>
      </c>
      <c r="CV43" s="26">
        <f t="shared" si="39"/>
        <v>0</v>
      </c>
      <c r="CW43" s="26">
        <f t="shared" si="39"/>
        <v>0</v>
      </c>
      <c r="CX43" s="26">
        <f t="shared" si="39"/>
        <v>0</v>
      </c>
      <c r="CY43" s="26">
        <f t="shared" si="39"/>
        <v>0</v>
      </c>
      <c r="CZ43" s="26">
        <f t="shared" si="39"/>
        <v>0</v>
      </c>
      <c r="DA43" s="26">
        <f t="shared" si="39"/>
        <v>0</v>
      </c>
      <c r="DB43" s="26">
        <f t="shared" si="39"/>
        <v>0</v>
      </c>
      <c r="DC43" s="26">
        <f t="shared" si="39"/>
        <v>0</v>
      </c>
      <c r="DD43" s="26">
        <f t="shared" si="39"/>
        <v>0</v>
      </c>
      <c r="DE43" s="26">
        <f t="shared" si="39"/>
        <v>0</v>
      </c>
      <c r="DF43" s="26">
        <f t="shared" si="39"/>
        <v>0</v>
      </c>
      <c r="DG43" s="26">
        <f t="shared" si="39"/>
        <v>0</v>
      </c>
      <c r="DH43" s="26">
        <f t="shared" si="39"/>
        <v>0</v>
      </c>
      <c r="DI43" s="26">
        <f t="shared" si="39"/>
        <v>0</v>
      </c>
      <c r="DJ43" s="26">
        <f t="shared" si="39"/>
        <v>0</v>
      </c>
      <c r="DK43" s="26">
        <f t="shared" si="39"/>
        <v>0</v>
      </c>
      <c r="DL43" s="26">
        <f t="shared" si="39"/>
        <v>0</v>
      </c>
      <c r="DM43" s="26">
        <f t="shared" si="39"/>
        <v>0</v>
      </c>
      <c r="DN43" s="26">
        <f t="shared" si="39"/>
        <v>0</v>
      </c>
      <c r="DO43" s="26">
        <f t="shared" si="39"/>
        <v>0</v>
      </c>
      <c r="DP43" s="26">
        <f t="shared" si="39"/>
        <v>0</v>
      </c>
      <c r="DQ43" s="26">
        <f t="shared" si="39"/>
        <v>0</v>
      </c>
      <c r="DR43" s="26">
        <f t="shared" si="39"/>
        <v>110893689.23563191</v>
      </c>
    </row>
    <row r="44" spans="1:122" x14ac:dyDescent="0.2">
      <c r="A44" s="19" t="s">
        <v>114</v>
      </c>
      <c r="C44" s="32">
        <f t="shared" ref="C44:AH44" si="40">C40+C42+C43</f>
        <v>-7518430.908854167</v>
      </c>
      <c r="D44" s="32">
        <f t="shared" si="40"/>
        <v>-150326.29752604169</v>
      </c>
      <c r="E44" s="32">
        <f t="shared" si="40"/>
        <v>-145543.56119791669</v>
      </c>
      <c r="F44" s="32">
        <f t="shared" si="40"/>
        <v>-140760.82486979169</v>
      </c>
      <c r="G44" s="32">
        <f t="shared" si="40"/>
        <v>-135978.08854166669</v>
      </c>
      <c r="H44" s="32">
        <f t="shared" si="40"/>
        <v>-131195.35221354169</v>
      </c>
      <c r="I44" s="32">
        <f t="shared" si="40"/>
        <v>-126412.61588541669</v>
      </c>
      <c r="J44" s="32">
        <f t="shared" si="40"/>
        <v>-121629.87955729169</v>
      </c>
      <c r="K44" s="32">
        <f t="shared" si="40"/>
        <v>-116847.1432291667</v>
      </c>
      <c r="L44" s="32">
        <f t="shared" si="40"/>
        <v>-112064.40690104169</v>
      </c>
      <c r="M44" s="32">
        <f t="shared" si="40"/>
        <v>-107281.67057291669</v>
      </c>
      <c r="N44" s="32">
        <f t="shared" si="40"/>
        <v>-102498.93424479169</v>
      </c>
      <c r="O44" s="32">
        <f t="shared" si="40"/>
        <v>-96390.969811197923</v>
      </c>
      <c r="P44" s="32">
        <f t="shared" si="40"/>
        <v>-91501.118580729177</v>
      </c>
      <c r="Q44" s="32">
        <f t="shared" si="40"/>
        <v>-86611.26735026043</v>
      </c>
      <c r="R44" s="32">
        <f t="shared" si="40"/>
        <v>-81721.416119791684</v>
      </c>
      <c r="S44" s="32">
        <f t="shared" si="40"/>
        <v>-76831.564889322923</v>
      </c>
      <c r="T44" s="32">
        <f t="shared" si="40"/>
        <v>-71941.713658854162</v>
      </c>
      <c r="U44" s="32">
        <f t="shared" si="40"/>
        <v>-67051.862428385444</v>
      </c>
      <c r="V44" s="32">
        <f t="shared" si="40"/>
        <v>-62162.011197916669</v>
      </c>
      <c r="W44" s="32">
        <f t="shared" si="40"/>
        <v>-57272.159967447922</v>
      </c>
      <c r="X44" s="32">
        <f t="shared" si="40"/>
        <v>-52382.308736979168</v>
      </c>
      <c r="Y44" s="32">
        <f t="shared" si="40"/>
        <v>-47492.457506510429</v>
      </c>
      <c r="Z44" s="32">
        <f t="shared" si="40"/>
        <v>-42602.606276041683</v>
      </c>
      <c r="AA44" s="32">
        <f t="shared" si="40"/>
        <v>-7531577.9593084631</v>
      </c>
      <c r="AB44" s="32">
        <f t="shared" si="40"/>
        <v>-158149.63139869794</v>
      </c>
      <c r="AC44" s="32">
        <f t="shared" si="40"/>
        <v>-148043.17848893235</v>
      </c>
      <c r="AD44" s="32">
        <f t="shared" si="40"/>
        <v>-137936.7255791667</v>
      </c>
      <c r="AE44" s="32">
        <f t="shared" si="40"/>
        <v>-127830.27266940106</v>
      </c>
      <c r="AF44" s="32">
        <f t="shared" si="40"/>
        <v>-117723.81975963549</v>
      </c>
      <c r="AG44" s="32">
        <f t="shared" si="40"/>
        <v>-107617.36684986984</v>
      </c>
      <c r="AH44" s="32">
        <f t="shared" si="40"/>
        <v>-97510.913940104219</v>
      </c>
      <c r="AI44" s="32">
        <f t="shared" ref="AI44:BN44" si="41">AI40+AI42+AI43</f>
        <v>-87404.461030338571</v>
      </c>
      <c r="AJ44" s="32">
        <f t="shared" si="41"/>
        <v>-77298.008120572937</v>
      </c>
      <c r="AK44" s="32">
        <f t="shared" si="41"/>
        <v>-67191.555210807288</v>
      </c>
      <c r="AL44" s="32">
        <f t="shared" si="41"/>
        <v>-57085.102301041698</v>
      </c>
      <c r="AM44" s="32">
        <f t="shared" si="41"/>
        <v>-6463727.3542545009</v>
      </c>
      <c r="AN44" s="32">
        <f t="shared" si="41"/>
        <v>-142712.9984670534</v>
      </c>
      <c r="AO44" s="32">
        <f t="shared" si="41"/>
        <v>-133117.39267960616</v>
      </c>
      <c r="AP44" s="32">
        <f t="shared" si="41"/>
        <v>-123521.7868921589</v>
      </c>
      <c r="AQ44" s="32">
        <f t="shared" si="41"/>
        <v>-113926.18110471165</v>
      </c>
      <c r="AR44" s="32">
        <f t="shared" si="41"/>
        <v>-104330.5753172644</v>
      </c>
      <c r="AS44" s="32">
        <f t="shared" si="41"/>
        <v>-94734.969529817099</v>
      </c>
      <c r="AT44" s="32">
        <f t="shared" si="41"/>
        <v>-85139.363742369896</v>
      </c>
      <c r="AU44" s="32">
        <f t="shared" si="41"/>
        <v>-75543.757954922592</v>
      </c>
      <c r="AV44" s="32">
        <f t="shared" si="41"/>
        <v>-65948.152167475288</v>
      </c>
      <c r="AW44" s="32">
        <f t="shared" si="41"/>
        <v>-56352.546380028129</v>
      </c>
      <c r="AX44" s="32">
        <f t="shared" si="41"/>
        <v>-46756.940592580766</v>
      </c>
      <c r="AY44" s="32">
        <f t="shared" si="41"/>
        <v>-10724743.378798885</v>
      </c>
      <c r="AZ44" s="32">
        <f t="shared" si="41"/>
        <v>-188350.70365381721</v>
      </c>
      <c r="BA44" s="32">
        <f t="shared" si="41"/>
        <v>-170989.27850874982</v>
      </c>
      <c r="BB44" s="32">
        <f t="shared" si="41"/>
        <v>-153627.85336368249</v>
      </c>
      <c r="BC44" s="32">
        <f t="shared" si="41"/>
        <v>-136266.42821861504</v>
      </c>
      <c r="BD44" s="32">
        <f t="shared" si="41"/>
        <v>-118905.00307354765</v>
      </c>
      <c r="BE44" s="32">
        <f t="shared" si="41"/>
        <v>-101543.57792848037</v>
      </c>
      <c r="BF44" s="32">
        <f t="shared" si="41"/>
        <v>-84182.152783413039</v>
      </c>
      <c r="BG44" s="32">
        <f t="shared" si="41"/>
        <v>-66820.72763834559</v>
      </c>
      <c r="BH44" s="32">
        <f t="shared" si="41"/>
        <v>-49459.302493278286</v>
      </c>
      <c r="BI44" s="32">
        <f t="shared" si="41"/>
        <v>-32097.877348210954</v>
      </c>
      <c r="BJ44" s="32">
        <f t="shared" si="41"/>
        <v>-14736.452203143504</v>
      </c>
      <c r="BK44" s="32">
        <f t="shared" si="41"/>
        <v>-10677728.201811559</v>
      </c>
      <c r="BL44" s="32">
        <f t="shared" si="41"/>
        <v>-138623.20324862865</v>
      </c>
      <c r="BM44" s="32">
        <f t="shared" si="41"/>
        <v>-118549.45468569797</v>
      </c>
      <c r="BN44" s="32">
        <f t="shared" si="41"/>
        <v>-98475.706122767355</v>
      </c>
      <c r="BO44" s="32">
        <f t="shared" ref="BO44:CT44" si="42">BO40+BO42+BO43</f>
        <v>-78401.957559836796</v>
      </c>
      <c r="BP44" s="32">
        <f t="shared" si="42"/>
        <v>-58328.20899690612</v>
      </c>
      <c r="BQ44" s="32">
        <f t="shared" si="42"/>
        <v>-38254.460433975561</v>
      </c>
      <c r="BR44" s="32">
        <f t="shared" si="42"/>
        <v>-18180.71187104506</v>
      </c>
      <c r="BS44" s="32">
        <f t="shared" si="42"/>
        <v>1893.036691885558</v>
      </c>
      <c r="BT44" s="32">
        <f t="shared" si="42"/>
        <v>21966.785254816234</v>
      </c>
      <c r="BU44" s="32">
        <f t="shared" si="42"/>
        <v>42040.533817746793</v>
      </c>
      <c r="BV44" s="32">
        <f t="shared" si="42"/>
        <v>62114.282380677527</v>
      </c>
      <c r="BW44" s="32">
        <f t="shared" si="42"/>
        <v>-10591782.298000956</v>
      </c>
      <c r="BX44" s="32">
        <f t="shared" si="42"/>
        <v>-49056.849588665413</v>
      </c>
      <c r="BY44" s="32">
        <f t="shared" si="42"/>
        <v>-25362.651176374871</v>
      </c>
      <c r="BZ44" s="32">
        <f t="shared" si="42"/>
        <v>-1668.4527640842134</v>
      </c>
      <c r="CA44" s="32">
        <f t="shared" si="42"/>
        <v>22025.745648206561</v>
      </c>
      <c r="CB44" s="32">
        <f t="shared" si="42"/>
        <v>45719.944060496986</v>
      </c>
      <c r="CC44" s="32">
        <f t="shared" si="42"/>
        <v>69414.14247278776</v>
      </c>
      <c r="CD44" s="32">
        <f t="shared" si="42"/>
        <v>93108.340885078302</v>
      </c>
      <c r="CE44" s="32">
        <f t="shared" si="42"/>
        <v>116802.53929736896</v>
      </c>
      <c r="CF44" s="32">
        <f t="shared" si="42"/>
        <v>140496.73770965962</v>
      </c>
      <c r="CG44" s="32">
        <f t="shared" si="42"/>
        <v>164190.93612195004</v>
      </c>
      <c r="CH44" s="32">
        <f t="shared" si="42"/>
        <v>187885.13453424082</v>
      </c>
      <c r="CI44" s="32">
        <f t="shared" si="42"/>
        <v>234786.26853595895</v>
      </c>
      <c r="CJ44" s="32">
        <f t="shared" si="42"/>
        <v>250947.83165406506</v>
      </c>
      <c r="CK44" s="32">
        <f t="shared" si="42"/>
        <v>267109.39477217128</v>
      </c>
      <c r="CL44" s="32">
        <f t="shared" si="42"/>
        <v>283270.95789027761</v>
      </c>
      <c r="CM44" s="32">
        <f t="shared" si="42"/>
        <v>299432.52100838383</v>
      </c>
      <c r="CN44" s="32">
        <f t="shared" si="42"/>
        <v>315594.08412648994</v>
      </c>
      <c r="CO44" s="32">
        <f t="shared" si="42"/>
        <v>331755.64724459616</v>
      </c>
      <c r="CP44" s="32">
        <f t="shared" si="42"/>
        <v>347917.21036270249</v>
      </c>
      <c r="CQ44" s="32">
        <f t="shared" si="42"/>
        <v>364078.7734808086</v>
      </c>
      <c r="CR44" s="32">
        <f t="shared" si="42"/>
        <v>380240.3365989147</v>
      </c>
      <c r="CS44" s="32">
        <f t="shared" si="42"/>
        <v>396401.89971702104</v>
      </c>
      <c r="CT44" s="32">
        <f t="shared" si="42"/>
        <v>412563.46283512725</v>
      </c>
      <c r="CU44" s="32">
        <f t="shared" ref="CU44:DZ44" si="43">CU40+CU42+CU43</f>
        <v>457104.10770284652</v>
      </c>
      <c r="CV44" s="32">
        <f t="shared" si="43"/>
        <v>465373.08614617097</v>
      </c>
      <c r="CW44" s="32">
        <f t="shared" si="43"/>
        <v>473642.06458949565</v>
      </c>
      <c r="CX44" s="32">
        <f t="shared" si="43"/>
        <v>481911.04303282069</v>
      </c>
      <c r="CY44" s="32">
        <f t="shared" si="43"/>
        <v>490180.02147614525</v>
      </c>
      <c r="CZ44" s="32">
        <f t="shared" si="43"/>
        <v>498448.99991947005</v>
      </c>
      <c r="DA44" s="32">
        <f t="shared" si="43"/>
        <v>506717.97836279462</v>
      </c>
      <c r="DB44" s="32">
        <f t="shared" si="43"/>
        <v>514986.95680611918</v>
      </c>
      <c r="DC44" s="32">
        <f t="shared" si="43"/>
        <v>523255.93524944398</v>
      </c>
      <c r="DD44" s="32">
        <f t="shared" si="43"/>
        <v>531524.91369276878</v>
      </c>
      <c r="DE44" s="32">
        <f t="shared" si="43"/>
        <v>539793.89213609323</v>
      </c>
      <c r="DF44" s="32">
        <f t="shared" si="43"/>
        <v>548062.87057941803</v>
      </c>
      <c r="DG44" s="32">
        <f t="shared" si="43"/>
        <v>587845.52917364961</v>
      </c>
      <c r="DH44" s="32">
        <f t="shared" si="43"/>
        <v>587845.52917364961</v>
      </c>
      <c r="DI44" s="32">
        <f t="shared" si="43"/>
        <v>587845.52917364961</v>
      </c>
      <c r="DJ44" s="32">
        <f t="shared" si="43"/>
        <v>587845.52917364961</v>
      </c>
      <c r="DK44" s="32">
        <f t="shared" si="43"/>
        <v>587845.52917364961</v>
      </c>
      <c r="DL44" s="32">
        <f t="shared" si="43"/>
        <v>587845.52917364961</v>
      </c>
      <c r="DM44" s="32">
        <f t="shared" si="43"/>
        <v>587845.52917364961</v>
      </c>
      <c r="DN44" s="32">
        <f t="shared" si="43"/>
        <v>587845.52917364961</v>
      </c>
      <c r="DO44" s="32">
        <f t="shared" si="43"/>
        <v>587845.52917364961</v>
      </c>
      <c r="DP44" s="32">
        <f t="shared" si="43"/>
        <v>587845.52917364961</v>
      </c>
      <c r="DQ44" s="32">
        <f t="shared" si="43"/>
        <v>587845.52917364961</v>
      </c>
      <c r="DR44" s="32">
        <f t="shared" si="43"/>
        <v>111481534.76480556</v>
      </c>
    </row>
    <row r="46" spans="1:122" x14ac:dyDescent="0.2">
      <c r="A46" s="7" t="s">
        <v>115</v>
      </c>
      <c r="B46" s="8"/>
    </row>
    <row r="47" spans="1:122" x14ac:dyDescent="0.2">
      <c r="A47" s="9" t="s">
        <v>116</v>
      </c>
      <c r="B47" s="29">
        <f>Assumptions!$B$23*(1+Assumptions!$B$24)^(Assumptions!$B$45-1)</f>
        <v>13.373925134249756</v>
      </c>
    </row>
    <row r="48" spans="1:122" x14ac:dyDescent="0.2">
      <c r="A48" s="9" t="s">
        <v>117</v>
      </c>
      <c r="B48" s="26">
        <f>Assumptions!$B$10*Assumptions!$B$25*B47*(1-Assumptions!$B$27*Assumptions!$B$28)+Assumptions!$B$10*Assumptions!$B$25*Assumptions!$B$29</f>
        <v>14988730.789390512</v>
      </c>
    </row>
    <row r="49" spans="1:2" x14ac:dyDescent="0.2">
      <c r="A49" s="9" t="s">
        <v>118</v>
      </c>
      <c r="B49" s="26">
        <f>Assumptions!$B$32*Assumptions!$B$10*(1-Assumptions!$B$33*Assumptions!$B$25)</f>
        <v>634375.00000000012</v>
      </c>
    </row>
    <row r="50" spans="1:2" x14ac:dyDescent="0.2">
      <c r="A50" s="9" t="s">
        <v>119</v>
      </c>
      <c r="B50" s="26">
        <f>Assumptions!$B$34*B48</f>
        <v>449661.92368171533</v>
      </c>
    </row>
    <row r="51" spans="1:2" x14ac:dyDescent="0.2">
      <c r="A51" s="19" t="s">
        <v>10</v>
      </c>
      <c r="B51" s="27">
        <f>B48-B49-B50</f>
        <v>13904693.865708796</v>
      </c>
    </row>
    <row r="52" spans="1:2" x14ac:dyDescent="0.2">
      <c r="A52" s="9" t="s">
        <v>64</v>
      </c>
      <c r="B52" s="28">
        <f>Assumptions!$B$43</f>
        <v>6.5000000000000002E-2</v>
      </c>
    </row>
    <row r="53" spans="1:2" x14ac:dyDescent="0.2">
      <c r="A53" s="9" t="s">
        <v>11</v>
      </c>
      <c r="B53" s="26">
        <f>B51/B52</f>
        <v>213918367.1647507</v>
      </c>
    </row>
    <row r="54" spans="1:2" x14ac:dyDescent="0.2">
      <c r="A54" s="9" t="s">
        <v>120</v>
      </c>
      <c r="B54" s="26">
        <f>SUM('Acq &amp; Financing'!$E$4:$E$9)</f>
        <v>97676718.75</v>
      </c>
    </row>
    <row r="55" spans="1:2" x14ac:dyDescent="0.2">
      <c r="A55" s="9" t="s">
        <v>12</v>
      </c>
      <c r="B55" s="26">
        <f>B53*(1-Assumptions!$B$44)-B54</f>
        <v>110893689.23563191</v>
      </c>
    </row>
    <row r="56" spans="1:2" x14ac:dyDescent="0.2">
      <c r="A56" s="19" t="s">
        <v>121</v>
      </c>
      <c r="B56" s="34">
        <f>XIRR(C44:DR44,C41:DR41)</f>
        <v>0.12740643620491027</v>
      </c>
    </row>
    <row r="57" spans="1:2" x14ac:dyDescent="0.2">
      <c r="A57" s="9" t="s">
        <v>122</v>
      </c>
      <c r="B57" s="26">
        <f>-SUM(C40:DR40)</f>
        <v>52595156.25</v>
      </c>
    </row>
    <row r="58" spans="1:2" x14ac:dyDescent="0.2">
      <c r="A58" s="9" t="s">
        <v>123</v>
      </c>
      <c r="B58" s="26">
        <f>SUMIF(C42:DR42,"&gt;0")+B55</f>
        <v>128830594.00251073</v>
      </c>
    </row>
    <row r="59" spans="1:2" x14ac:dyDescent="0.2">
      <c r="A59" s="19" t="s">
        <v>9</v>
      </c>
      <c r="B59" s="35">
        <f>B58/B57</f>
        <v>2.4494764002628231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30" customWidth="1"/>
    <col min="3" max="12" width="14" customWidth="1"/>
  </cols>
  <sheetData>
    <row r="1" spans="1:12" ht="18" customHeight="1" x14ac:dyDescent="0.2">
      <c r="A1" s="5" t="s">
        <v>124</v>
      </c>
    </row>
    <row r="2" spans="1:12" x14ac:dyDescent="0.2">
      <c r="A2" s="9" t="s">
        <v>76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</row>
    <row r="3" spans="1:12" x14ac:dyDescent="0.2">
      <c r="A3" s="9" t="s">
        <v>125</v>
      </c>
      <c r="C3" s="26">
        <f>SUMIFS('Operating Model'!$C$25:$DR$25,'Operating Model'!$C$3:$DR$3,C2)</f>
        <v>287112.109375</v>
      </c>
      <c r="D3" s="26">
        <f>SUMIFS('Operating Model'!$C$25:$DR$25,'Operating Model'!$C$3:$DR$3,D2)</f>
        <v>841680.19140625012</v>
      </c>
      <c r="E3" s="26">
        <f>SUMIFS('Operating Model'!$C$25:$DR$25,'Operating Model'!$C$3:$DR$3,E2)</f>
        <v>1758142.4442968748</v>
      </c>
      <c r="F3" s="26">
        <f>SUMIFS('Operating Model'!$C$25:$DR$25,'Operating Model'!$C$3:$DR$3,F2)</f>
        <v>2938886.3196636713</v>
      </c>
      <c r="G3" s="26">
        <f>SUMIFS('Operating Model'!$C$25:$DR$25,'Operating Model'!$C$3:$DR$3,G2)</f>
        <v>4616161.158862778</v>
      </c>
      <c r="H3" s="26">
        <f>SUMIFS('Operating Model'!$C$25:$DR$25,'Operating Model'!$C$3:$DR$3,H2)</f>
        <v>6942186.6610464593</v>
      </c>
      <c r="I3" s="26">
        <f>SUMIFS('Operating Model'!$C$25:$DR$25,'Operating Model'!$C$3:$DR$3,I2)</f>
        <v>9726218.3662558869</v>
      </c>
      <c r="J3" s="26">
        <f>SUMIFS('Operating Model'!$C$25:$DR$25,'Operating Model'!$C$3:$DR$3,J2)</f>
        <v>12331480.626037173</v>
      </c>
      <c r="K3" s="26">
        <f>SUMIFS('Operating Model'!$C$25:$DR$25,'Operating Model'!$C$3:$DR$3,K2)</f>
        <v>14112281.170434974</v>
      </c>
      <c r="L3" s="26">
        <f>SUMIFS('Operating Model'!$C$25:$DR$25,'Operating Model'!$C$3:$DR$3,L2)</f>
        <v>14988730.789390506</v>
      </c>
    </row>
    <row r="4" spans="1:12" x14ac:dyDescent="0.2">
      <c r="A4" s="19" t="s">
        <v>126</v>
      </c>
      <c r="C4" s="27">
        <f>SUMIFS('Operating Model'!$C$29:$DR$29,'Operating Model'!$C$3:$DR$3,C2)</f>
        <v>-239446.56640625009</v>
      </c>
      <c r="D4" s="27">
        <f>SUMIFS('Operating Model'!$C$29:$DR$29,'Operating Model'!$C$3:$DR$3,D2)</f>
        <v>473046.97316406254</v>
      </c>
      <c r="E4" s="27">
        <f>SUMIFS('Operating Model'!$C$29:$DR$29,'Operating Model'!$C$3:$DR$3,E2)</f>
        <v>1018632.5459679686</v>
      </c>
      <c r="F4" s="27">
        <f>SUMIFS('Operating Model'!$C$29:$DR$29,'Operating Model'!$C$3:$DR$3,F2)</f>
        <v>1974571.2925737612</v>
      </c>
      <c r="G4" s="27">
        <f>SUMIFS('Operating Model'!$C$29:$DR$29,'Operating Model'!$C$3:$DR$3,G2)</f>
        <v>3185793.5115968939</v>
      </c>
      <c r="H4" s="27">
        <f>SUMIFS('Operating Model'!$C$29:$DR$29,'Operating Model'!$C$3:$DR$3,H2)</f>
        <v>5181124.1862150654</v>
      </c>
      <c r="I4" s="27">
        <f>SUMIFS('Operating Model'!$C$29:$DR$29,'Operating Model'!$C$3:$DR$3,I2)</f>
        <v>7709041.1902682083</v>
      </c>
      <c r="J4" s="27">
        <f>SUMIFS('Operating Model'!$C$29:$DR$29,'Operating Model'!$C$3:$DR$3,J2)</f>
        <v>10849192.457256055</v>
      </c>
      <c r="K4" s="27">
        <f>SUMIFS('Operating Model'!$C$29:$DR$29,'Operating Model'!$C$3:$DR$3,K2)</f>
        <v>12940240.860321922</v>
      </c>
      <c r="L4" s="27">
        <f>SUMIFS('Operating Model'!$C$29:$DR$29,'Operating Model'!$C$3:$DR$3,L2)</f>
        <v>13904693.865708793</v>
      </c>
    </row>
    <row r="5" spans="1:12" x14ac:dyDescent="0.2">
      <c r="A5" s="9" t="s">
        <v>102</v>
      </c>
      <c r="C5" s="26">
        <f>SUMIFS('Operating Model'!$C$32:$DR$32,'Operating Model'!$C$3:$DR$3,C2)</f>
        <v>300000</v>
      </c>
      <c r="D5" s="26">
        <f>SUMIFS('Operating Model'!$C$32:$DR$32,'Operating Model'!$C$3:$DR$3,D2)</f>
        <v>300000</v>
      </c>
      <c r="E5" s="26">
        <f>SUMIFS('Operating Model'!$C$32:$DR$32,'Operating Model'!$C$3:$DR$3,E2)</f>
        <v>375000</v>
      </c>
      <c r="F5" s="26">
        <f>SUMIFS('Operating Model'!$C$32:$DR$32,'Operating Model'!$C$3:$DR$3,F2)</f>
        <v>450000</v>
      </c>
      <c r="G5" s="26">
        <f>SUMIFS('Operating Model'!$C$32:$DR$32,'Operating Model'!$C$3:$DR$3,G2)</f>
        <v>525000</v>
      </c>
      <c r="H5" s="26">
        <f>SUMIFS('Operating Model'!$C$32:$DR$32,'Operating Model'!$C$3:$DR$3,H2)</f>
        <v>600000</v>
      </c>
      <c r="I5" s="26">
        <f>SUMIFS('Operating Model'!$C$32:$DR$32,'Operating Model'!$C$3:$DR$3,I2)</f>
        <v>675000</v>
      </c>
      <c r="J5" s="26">
        <f>SUMIFS('Operating Model'!$C$32:$DR$32,'Operating Model'!$C$3:$DR$3,J2)</f>
        <v>675000</v>
      </c>
      <c r="K5" s="26">
        <f>SUMIFS('Operating Model'!$C$32:$DR$32,'Operating Model'!$C$3:$DR$3,K2)</f>
        <v>675000</v>
      </c>
      <c r="L5" s="26">
        <f>SUMIFS('Operating Model'!$C$32:$DR$32,'Operating Model'!$C$3:$DR$3,L2)</f>
        <v>675000</v>
      </c>
    </row>
    <row r="6" spans="1:12" x14ac:dyDescent="0.2">
      <c r="A6" s="9" t="s">
        <v>127</v>
      </c>
      <c r="C6" s="26">
        <f>SUMIFS('Operating Model'!$C$36:$DR$36,'Operating Model'!$C$3:$DR$3,C2)</f>
        <v>-622602.81640624988</v>
      </c>
      <c r="D6" s="26">
        <f>SUMIFS('Operating Model'!$C$36:$DR$36,'Operating Model'!$C$3:$DR$3,D2)</f>
        <v>89083.535664062554</v>
      </c>
      <c r="E6" s="26">
        <f>SUMIFS('Operating Model'!$C$36:$DR$36,'Operating Model'!$C$3:$DR$3,E2)</f>
        <v>494042.86471796874</v>
      </c>
      <c r="F6" s="26">
        <f>SUMIFS('Operating Model'!$C$36:$DR$36,'Operating Model'!$C$3:$DR$3,F2)</f>
        <v>1354969.0902925108</v>
      </c>
      <c r="G6" s="26">
        <f>SUMIFS('Operating Model'!$C$36:$DR$36,'Operating Model'!$C$3:$DR$3,G2)</f>
        <v>2398791.4983628313</v>
      </c>
      <c r="H6" s="26">
        <f>SUMIFS('Operating Model'!$C$36:$DR$36,'Operating Model'!$C$3:$DR$3,H2)</f>
        <v>4265269.2334147086</v>
      </c>
      <c r="I6" s="26">
        <f>SUMIFS('Operating Model'!$C$36:$DR$36,'Operating Model'!$C$3:$DR$3,I2)</f>
        <v>6658852.0348247094</v>
      </c>
      <c r="J6" s="26">
        <f>SUMIFS('Operating Model'!$C$36:$DR$36,'Operating Model'!$C$3:$DR$3,J2)</f>
        <v>9852145.9038515165</v>
      </c>
      <c r="K6" s="26">
        <f>SUMIFS('Operating Model'!$C$36:$DR$36,'Operating Model'!$C$3:$DR$3,K2)</f>
        <v>11999049.385318587</v>
      </c>
      <c r="L6" s="26">
        <f>SUMIFS('Operating Model'!$C$36:$DR$36,'Operating Model'!$C$3:$DR$3,L2)</f>
        <v>13022193.865708796</v>
      </c>
    </row>
    <row r="7" spans="1:12" x14ac:dyDescent="0.2">
      <c r="A7" s="9" t="s">
        <v>128</v>
      </c>
      <c r="C7" s="26">
        <f>SUMIFS('Operating Model'!$C$37:$DR$37,'Operating Model'!$C$3:$DR$3,C2)</f>
        <v>923044.99218750012</v>
      </c>
      <c r="D7" s="26">
        <f>SUMIFS('Operating Model'!$C$37:$DR$37,'Operating Model'!$C$3:$DR$3,D2)</f>
        <v>923044.99218750012</v>
      </c>
      <c r="E7" s="26">
        <f>SUMIFS('Operating Model'!$C$37:$DR$37,'Operating Model'!$C$3:$DR$3,E2)</f>
        <v>1846089.9843750002</v>
      </c>
      <c r="F7" s="26">
        <f>SUMIFS('Operating Model'!$C$37:$DR$37,'Operating Model'!$C$3:$DR$3,F2)</f>
        <v>2549362.359375</v>
      </c>
      <c r="G7" s="26">
        <f>SUMIFS('Operating Model'!$C$37:$DR$37,'Operating Model'!$C$3:$DR$3,G2)</f>
        <v>3721482.984375</v>
      </c>
      <c r="H7" s="26">
        <f>SUMIFS('Operating Model'!$C$37:$DR$37,'Operating Model'!$C$3:$DR$3,H2)</f>
        <v>4844765.25</v>
      </c>
      <c r="I7" s="26">
        <f>SUMIFS('Operating Model'!$C$37:$DR$37,'Operating Model'!$C$3:$DR$3,I2)</f>
        <v>5968047.515625</v>
      </c>
      <c r="J7" s="26">
        <f>SUMIFS('Operating Model'!$C$37:$DR$37,'Operating Model'!$C$3:$DR$3,J2)</f>
        <v>5968047.515625</v>
      </c>
      <c r="K7" s="26">
        <f>SUMIFS('Operating Model'!$C$37:$DR$37,'Operating Model'!$C$3:$DR$3,K2)</f>
        <v>5968047.515625</v>
      </c>
      <c r="L7" s="26">
        <f>SUMIFS('Operating Model'!$C$37:$DR$37,'Operating Model'!$C$3:$DR$3,L2)</f>
        <v>5968047.515625</v>
      </c>
    </row>
    <row r="8" spans="1:12" x14ac:dyDescent="0.2">
      <c r="A8" s="19" t="s">
        <v>129</v>
      </c>
      <c r="C8" s="27">
        <f>SUMIFS('Operating Model'!$C$38:$DR$38,'Operating Model'!$C$3:$DR$3,C2)</f>
        <v>-1545647.8085937507</v>
      </c>
      <c r="D8" s="27">
        <f>SUMIFS('Operating Model'!$C$38:$DR$38,'Operating Model'!$C$3:$DR$3,D2)</f>
        <v>-833961.45652343752</v>
      </c>
      <c r="E8" s="27">
        <f>SUMIFS('Operating Model'!$C$38:$DR$38,'Operating Model'!$C$3:$DR$3,E2)</f>
        <v>-1352047.1196570317</v>
      </c>
      <c r="F8" s="27">
        <f>SUMIFS('Operating Model'!$C$38:$DR$38,'Operating Model'!$C$3:$DR$3,F2)</f>
        <v>-1194393.269082489</v>
      </c>
      <c r="G8" s="27">
        <f>SUMIFS('Operating Model'!$C$38:$DR$38,'Operating Model'!$C$3:$DR$3,G2)</f>
        <v>-1322691.4860121687</v>
      </c>
      <c r="H8" s="27">
        <f>SUMIFS('Operating Model'!$C$38:$DR$38,'Operating Model'!$C$3:$DR$3,H2)</f>
        <v>-579496.01658529055</v>
      </c>
      <c r="I8" s="27">
        <f>SUMIFS('Operating Model'!$C$38:$DR$38,'Operating Model'!$C$3:$DR$3,I2)</f>
        <v>690804.51919970848</v>
      </c>
      <c r="J8" s="27">
        <f>SUMIFS('Operating Model'!$C$38:$DR$38,'Operating Model'!$C$3:$DR$3,J2)</f>
        <v>3884098.3882265175</v>
      </c>
      <c r="K8" s="27">
        <f>SUMIFS('Operating Model'!$C$38:$DR$38,'Operating Model'!$C$3:$DR$3,K2)</f>
        <v>6031001.8696935866</v>
      </c>
      <c r="L8" s="27">
        <f>SUMIFS('Operating Model'!$C$38:$DR$38,'Operating Model'!$C$3:$DR$3,L2)</f>
        <v>7054146.3500837972</v>
      </c>
    </row>
    <row r="9" spans="1:12" x14ac:dyDescent="0.2">
      <c r="A9" s="9" t="s">
        <v>130</v>
      </c>
      <c r="C9" s="26">
        <f>C8</f>
        <v>-1545647.8085937507</v>
      </c>
      <c r="D9" s="26">
        <f t="shared" ref="D9:L9" si="0">C9+D8</f>
        <v>-2379609.265117188</v>
      </c>
      <c r="E9" s="26">
        <f t="shared" si="0"/>
        <v>-3731656.3847742197</v>
      </c>
      <c r="F9" s="26">
        <f t="shared" si="0"/>
        <v>-4926049.6538567087</v>
      </c>
      <c r="G9" s="26">
        <f t="shared" si="0"/>
        <v>-6248741.1398688778</v>
      </c>
      <c r="H9" s="26">
        <f t="shared" si="0"/>
        <v>-6828237.1564541683</v>
      </c>
      <c r="I9" s="26">
        <f t="shared" si="0"/>
        <v>-6137432.6372544598</v>
      </c>
      <c r="J9" s="26">
        <f t="shared" si="0"/>
        <v>-2253334.2490279423</v>
      </c>
      <c r="K9" s="26">
        <f t="shared" si="0"/>
        <v>3777667.6206656443</v>
      </c>
      <c r="L9" s="26">
        <f t="shared" si="0"/>
        <v>10831813.970749442</v>
      </c>
    </row>
    <row r="10" spans="1:12" x14ac:dyDescent="0.2">
      <c r="A10" s="9" t="s">
        <v>131</v>
      </c>
      <c r="C10" s="30">
        <f>INDEX('Operating Model'!$C$6:$DR$6,1,C2*12)</f>
        <v>175000</v>
      </c>
      <c r="D10" s="30">
        <f>INDEX('Operating Model'!$C$6:$DR$6,1,D2*12)</f>
        <v>175000</v>
      </c>
      <c r="E10" s="30">
        <f>INDEX('Operating Model'!$C$6:$DR$6,1,E2*12)</f>
        <v>350000</v>
      </c>
      <c r="F10" s="30">
        <f>INDEX('Operating Model'!$C$6:$DR$6,1,F2*12)</f>
        <v>500000</v>
      </c>
      <c r="G10" s="30">
        <f>INDEX('Operating Model'!$C$6:$DR$6,1,G2*12)</f>
        <v>750000</v>
      </c>
      <c r="H10" s="30">
        <f>INDEX('Operating Model'!$C$6:$DR$6,1,H2*12)</f>
        <v>1000000</v>
      </c>
      <c r="I10" s="30">
        <f>INDEX('Operating Model'!$C$6:$DR$6,1,I2*12)</f>
        <v>1250000</v>
      </c>
      <c r="J10" s="30">
        <f>INDEX('Operating Model'!$C$6:$DR$6,1,J2*12)</f>
        <v>1250000</v>
      </c>
      <c r="K10" s="30">
        <f>INDEX('Operating Model'!$C$6:$DR$6,1,K2*12)</f>
        <v>1250000</v>
      </c>
      <c r="L10" s="30">
        <f>INDEX('Operating Model'!$C$6:$DR$6,1,L2*12)</f>
        <v>1250000</v>
      </c>
    </row>
    <row r="11" spans="1:12" x14ac:dyDescent="0.2">
      <c r="A11" s="9" t="s">
        <v>132</v>
      </c>
      <c r="C11" s="28">
        <f>INDEX('Operating Model'!$C$16:$DR$16,1,C2*12)</f>
        <v>0.30000000000000004</v>
      </c>
      <c r="D11" s="28">
        <f>INDEX('Operating Model'!$C$16:$DR$16,1,D2*12)</f>
        <v>0.60000000000000009</v>
      </c>
      <c r="E11" s="28">
        <f>INDEX('Operating Model'!$C$16:$DR$16,1,E2*12)</f>
        <v>0.59999999999999987</v>
      </c>
      <c r="F11" s="28">
        <f>INDEX('Operating Model'!$C$16:$DR$16,1,F2*12)</f>
        <v>0.61499999999999999</v>
      </c>
      <c r="G11" s="28">
        <f>INDEX('Operating Model'!$C$16:$DR$16,1,G2*12)</f>
        <v>0.64</v>
      </c>
      <c r="H11" s="28">
        <f>INDEX('Operating Model'!$C$16:$DR$16,1,H2*12)</f>
        <v>0.67500000000000004</v>
      </c>
      <c r="I11" s="28">
        <f>INDEX('Operating Model'!$C$16:$DR$16,1,I2*12)</f>
        <v>0.72</v>
      </c>
      <c r="J11" s="28">
        <f>INDEX('Operating Model'!$C$16:$DR$16,1,J2*12)</f>
        <v>0.84</v>
      </c>
      <c r="K11" s="28">
        <f>INDEX('Operating Model'!$C$16:$DR$16,1,K2*12)</f>
        <v>0.9</v>
      </c>
      <c r="L11" s="28">
        <f>INDEX('Operating Model'!$C$16:$DR$16,1,L2*12)</f>
        <v>0.9</v>
      </c>
    </row>
    <row r="12" spans="1:12" x14ac:dyDescent="0.2">
      <c r="A12" s="9" t="s">
        <v>133</v>
      </c>
      <c r="C12" s="28">
        <f>IF(C10=0,0,(C5+C7)/(Assumptions!$B$23*C10))</f>
        <v>0.68183692944250873</v>
      </c>
      <c r="D12" s="28">
        <f>IF(D10=0,0,(D5+D7)/(Assumptions!$B$23*D10))</f>
        <v>0.68183692944250873</v>
      </c>
      <c r="E12" s="28">
        <f>IF(E10=0,0,(E5+E7)/(Assumptions!$B$23*E10))</f>
        <v>0.61911915940766549</v>
      </c>
      <c r="F12" s="28">
        <f>IF(F10=0,0,(F5+F7)/(Assumptions!$B$23*F10))</f>
        <v>0.58524143597560974</v>
      </c>
      <c r="G12" s="28">
        <f>IF(G10=0,0,(G5+G7)/(Assumptions!$B$23*G10))</f>
        <v>0.55238803048780483</v>
      </c>
      <c r="H12" s="28">
        <f>IF(H10=0,0,(H5+H7)/(Assumptions!$B$23*H10))</f>
        <v>0.53119660975609762</v>
      </c>
      <c r="I12" s="28">
        <f>IF(I10=0,0,(I5+I7)/(Assumptions!$B$23*I10))</f>
        <v>0.51848175731707313</v>
      </c>
      <c r="J12" s="28">
        <f>IF(J10=0,0,(J5+J7)/(Assumptions!$B$23*J10))</f>
        <v>0.51848175731707313</v>
      </c>
      <c r="K12" s="28">
        <f>IF(K10=0,0,(K5+K7)/(Assumptions!$B$23*K10))</f>
        <v>0.51848175731707313</v>
      </c>
      <c r="L12" s="28">
        <f>IF(L10=0,0,(L5+L7)/(Assumptions!$B$23*L10))</f>
        <v>0.51848175731707313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2" width="19.1640625" bestFit="1" customWidth="1"/>
    <col min="3" max="8" width="13" customWidth="1"/>
  </cols>
  <sheetData>
    <row r="1" spans="1:8" ht="18" x14ac:dyDescent="0.2">
      <c r="A1" s="37" t="s">
        <v>139</v>
      </c>
    </row>
    <row r="2" spans="1:8" ht="22.25" customHeight="1" x14ac:dyDescent="0.2">
      <c r="A2" s="2" t="s">
        <v>134</v>
      </c>
      <c r="B2" s="2"/>
      <c r="C2" s="2"/>
      <c r="D2" s="2"/>
      <c r="E2" s="2"/>
      <c r="F2" s="2"/>
      <c r="G2" s="2"/>
      <c r="H2" s="2"/>
    </row>
    <row r="5" spans="1:8" x14ac:dyDescent="0.2">
      <c r="A5" s="38" t="s">
        <v>135</v>
      </c>
      <c r="B5" s="8"/>
      <c r="C5" s="8"/>
      <c r="D5" s="8"/>
      <c r="E5" s="8"/>
    </row>
    <row r="6" spans="1:8" x14ac:dyDescent="0.2">
      <c r="B6" s="39" t="s">
        <v>136</v>
      </c>
      <c r="C6" s="40">
        <v>9.75</v>
      </c>
      <c r="D6" s="40">
        <v>10.25</v>
      </c>
      <c r="E6" s="40">
        <v>10.75</v>
      </c>
      <c r="F6" s="40">
        <v>11.25</v>
      </c>
    </row>
    <row r="7" spans="1:8" x14ac:dyDescent="0.2">
      <c r="B7" s="41">
        <v>85</v>
      </c>
      <c r="C7" s="42">
        <v>0.138764629855302</v>
      </c>
      <c r="D7" s="42">
        <v>0.157985438460751</v>
      </c>
      <c r="E7" s="42">
        <v>0.175836242680698</v>
      </c>
      <c r="F7" s="42">
        <v>0.19252549624274401</v>
      </c>
    </row>
    <row r="8" spans="1:8" x14ac:dyDescent="0.2">
      <c r="B8" s="41">
        <v>95</v>
      </c>
      <c r="C8" s="42">
        <v>0.107195356979193</v>
      </c>
      <c r="D8" s="43">
        <v>0.12740644143739299</v>
      </c>
      <c r="E8" s="42">
        <v>0.14605173555386</v>
      </c>
      <c r="F8" s="42">
        <v>0.163384738625622</v>
      </c>
    </row>
    <row r="9" spans="1:8" x14ac:dyDescent="0.2">
      <c r="B9" s="41">
        <v>105</v>
      </c>
      <c r="C9" s="42">
        <v>7.6145956683241506E-2</v>
      </c>
      <c r="D9" s="42">
        <v>9.7568133447209507E-2</v>
      </c>
      <c r="E9" s="42">
        <v>0.117180888949262</v>
      </c>
      <c r="F9" s="42">
        <v>0.13529735673447199</v>
      </c>
    </row>
    <row r="10" spans="1:8" x14ac:dyDescent="0.2">
      <c r="B10" s="41">
        <v>115</v>
      </c>
      <c r="C10" s="42">
        <v>4.5169384383580702E-2</v>
      </c>
      <c r="D10" s="42">
        <v>6.8070490079924606E-2</v>
      </c>
      <c r="E10" s="42">
        <v>8.8853528149811595E-2</v>
      </c>
      <c r="F10" s="42">
        <v>0.107912329051849</v>
      </c>
    </row>
    <row r="12" spans="1:8" ht="15" customHeight="1" x14ac:dyDescent="0.2">
      <c r="A12" s="1"/>
      <c r="B12" s="1"/>
      <c r="C12" s="1"/>
      <c r="D12" s="1"/>
      <c r="E12" s="1"/>
      <c r="F12" s="1"/>
      <c r="G12" s="1"/>
      <c r="H12" s="1"/>
    </row>
    <row r="14" spans="1:8" x14ac:dyDescent="0.2">
      <c r="A14" s="38" t="s">
        <v>137</v>
      </c>
      <c r="B14" s="8"/>
      <c r="C14" s="8"/>
      <c r="D14" s="8"/>
      <c r="E14" s="8"/>
    </row>
    <row r="15" spans="1:8" x14ac:dyDescent="0.2">
      <c r="B15" s="39" t="s">
        <v>138</v>
      </c>
      <c r="C15" s="44">
        <v>0.02</v>
      </c>
      <c r="D15" s="44">
        <v>0.03</v>
      </c>
      <c r="E15" s="44">
        <v>0.04</v>
      </c>
      <c r="F15" s="44">
        <v>0.05</v>
      </c>
    </row>
    <row r="16" spans="1:8" x14ac:dyDescent="0.2">
      <c r="B16" s="44">
        <v>5.5E-2</v>
      </c>
      <c r="C16" s="42">
        <v>0.14089251628758301</v>
      </c>
      <c r="D16" s="42">
        <v>0.17032304783013399</v>
      </c>
      <c r="E16" s="42">
        <v>0.19792411091019399</v>
      </c>
      <c r="F16" s="42">
        <v>0.22403194141775401</v>
      </c>
    </row>
    <row r="17" spans="1:8" x14ac:dyDescent="0.2">
      <c r="B17" s="44">
        <v>0.06</v>
      </c>
      <c r="C17" s="42">
        <v>0.11738268338532599</v>
      </c>
      <c r="D17" s="42">
        <v>0.14841788520919999</v>
      </c>
      <c r="E17" s="42">
        <v>0.17729194106348301</v>
      </c>
      <c r="F17" s="42">
        <v>0.204430484595228</v>
      </c>
    </row>
    <row r="18" spans="1:8" x14ac:dyDescent="0.2">
      <c r="B18" s="44">
        <v>6.5000000000000002E-2</v>
      </c>
      <c r="C18" s="42">
        <v>9.4590149250091904E-2</v>
      </c>
      <c r="D18" s="43">
        <v>0.12740644143739299</v>
      </c>
      <c r="E18" s="42">
        <v>0.15766761901763501</v>
      </c>
      <c r="F18" s="42">
        <v>0.18591316846330599</v>
      </c>
    </row>
    <row r="19" spans="1:8" x14ac:dyDescent="0.2">
      <c r="B19" s="44">
        <v>7.0000000000000007E-2</v>
      </c>
      <c r="C19" s="42">
        <v>7.2251822687470102E-2</v>
      </c>
      <c r="D19" s="42">
        <v>0.107058443958352</v>
      </c>
      <c r="E19" s="42">
        <v>0.13883780588136499</v>
      </c>
      <c r="F19" s="42">
        <v>0.16827569176967799</v>
      </c>
    </row>
    <row r="20" spans="1:8" x14ac:dyDescent="0.2">
      <c r="B20" s="44">
        <v>7.4999999999999997E-2</v>
      </c>
      <c r="C20" s="42">
        <v>5.0128290651679598E-2</v>
      </c>
      <c r="D20" s="42">
        <v>8.7176672957670398E-2</v>
      </c>
      <c r="E20" s="42">
        <v>0.120626211789424</v>
      </c>
      <c r="F20" s="42">
        <v>0.15135265412216001</v>
      </c>
    </row>
    <row r="22" spans="1:8" ht="22.25" customHeight="1" x14ac:dyDescent="0.2">
      <c r="A22" s="1"/>
      <c r="B22" s="1"/>
      <c r="C22" s="1"/>
      <c r="D22" s="1"/>
      <c r="E22" s="1"/>
      <c r="F22" s="1"/>
      <c r="G22" s="1"/>
      <c r="H22" s="1"/>
    </row>
  </sheetData>
  <mergeCells count="3">
    <mergeCell ref="A2:H2"/>
    <mergeCell ref="A12:H12"/>
    <mergeCell ref="A22:H22"/>
  </mergeCells>
  <conditionalFormatting sqref="C7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F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Assumptions</vt:lpstr>
      <vt:lpstr>Acq &amp; Financing</vt:lpstr>
      <vt:lpstr>Operating Model</vt:lpstr>
      <vt:lpstr>Annual Summary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Dees, Brennan</cp:lastModifiedBy>
  <cp:revision>0</cp:revision>
  <dcterms:created xsi:type="dcterms:W3CDTF">2026-06-16T18:57:42Z</dcterms:created>
  <dcterms:modified xsi:type="dcterms:W3CDTF">2026-06-17T00:18:07Z</dcterms:modified>
  <dc:language>en-US</dc:language>
</cp:coreProperties>
</file>